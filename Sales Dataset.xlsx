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NANCY\Downloads\"/>
    </mc:Choice>
  </mc:AlternateContent>
  <xr:revisionPtr revIDLastSave="0" documentId="13_ncr:1_{B99DDAE0-0C6C-437D-8063-1923F1099EDE}" xr6:coauthVersionLast="47" xr6:coauthVersionMax="47" xr10:uidLastSave="{00000000-0000-0000-0000-000000000000}"/>
  <bookViews>
    <workbookView xWindow="-120" yWindow="-120" windowWidth="20730" windowHeight="11160" activeTab="4" xr2:uid="{C0893FBD-34B3-420E-B0D6-EC330180DDEA}"/>
  </bookViews>
  <sheets>
    <sheet name="Sheet2" sheetId="5" r:id="rId1"/>
    <sheet name="Sheet3" sheetId="6" r:id="rId2"/>
    <sheet name="Sheet1" sheetId="4" r:id="rId3"/>
    <sheet name="Sheet4" sheetId="7" r:id="rId4"/>
    <sheet name="SalesData" sheetId="3" r:id="rId5"/>
  </sheets>
  <definedNames>
    <definedName name="Slicer_Product">#N/A</definedName>
    <definedName name="Slicer_Region">#N/A</definedName>
    <definedName name="Slicer_Sales_Person">#N/A</definedName>
  </definedNames>
  <calcPr calcId="191029"/>
  <pivotCaches>
    <pivotCache cacheId="0" r:id="rId6"/>
    <pivotCache cacheId="1" r:id="rId7"/>
    <pivotCache cacheId="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7" i="3" l="1"/>
  <c r="G51" i="3"/>
  <c r="F51" i="3"/>
  <c r="H51" i="3" s="1"/>
  <c r="G50" i="3"/>
  <c r="F50" i="3"/>
  <c r="H50" i="3" s="1"/>
  <c r="G49" i="3"/>
  <c r="F49" i="3"/>
  <c r="H49" i="3" s="1"/>
  <c r="H48" i="3"/>
  <c r="G48" i="3"/>
  <c r="F48" i="3"/>
  <c r="G47" i="3"/>
  <c r="F47" i="3"/>
  <c r="H47" i="3" s="1"/>
  <c r="G46" i="3"/>
  <c r="F46" i="3"/>
  <c r="H46" i="3" s="1"/>
  <c r="H45" i="3"/>
  <c r="G45" i="3"/>
  <c r="F45" i="3"/>
  <c r="G44" i="3"/>
  <c r="F44" i="3"/>
  <c r="H44" i="3" s="1"/>
  <c r="G43" i="3"/>
  <c r="F43" i="3"/>
  <c r="H43" i="3" s="1"/>
  <c r="G42" i="3"/>
  <c r="F42" i="3"/>
  <c r="H42" i="3" s="1"/>
  <c r="G41" i="3"/>
  <c r="F41" i="3"/>
  <c r="H41" i="3" s="1"/>
  <c r="G40" i="3"/>
  <c r="F40" i="3"/>
  <c r="H40" i="3" s="1"/>
  <c r="G39" i="3"/>
  <c r="F39" i="3"/>
  <c r="H39" i="3" s="1"/>
  <c r="G38" i="3"/>
  <c r="F38" i="3"/>
  <c r="H38" i="3" s="1"/>
  <c r="G37" i="3"/>
  <c r="F37" i="3"/>
  <c r="H37" i="3" s="1"/>
  <c r="G36" i="3"/>
  <c r="F36" i="3"/>
  <c r="H36" i="3" s="1"/>
  <c r="G35" i="3"/>
  <c r="F35" i="3"/>
  <c r="H35" i="3" s="1"/>
  <c r="G34" i="3"/>
  <c r="F34" i="3"/>
  <c r="H34" i="3" s="1"/>
  <c r="G33" i="3"/>
  <c r="F33" i="3"/>
  <c r="H33" i="3" s="1"/>
  <c r="H32" i="3"/>
  <c r="G32" i="3"/>
  <c r="F32" i="3"/>
  <c r="G31" i="3"/>
  <c r="F31" i="3"/>
  <c r="H31" i="3" s="1"/>
  <c r="G30" i="3"/>
  <c r="F30" i="3"/>
  <c r="H30" i="3" s="1"/>
  <c r="H29" i="3"/>
  <c r="G29" i="3"/>
  <c r="F29" i="3"/>
  <c r="G28" i="3"/>
  <c r="F28" i="3"/>
  <c r="H28" i="3" s="1"/>
  <c r="G27" i="3"/>
  <c r="F27" i="3"/>
  <c r="H27" i="3" s="1"/>
  <c r="G26" i="3"/>
  <c r="F26" i="3"/>
  <c r="H26" i="3" s="1"/>
  <c r="G25" i="3"/>
  <c r="F25" i="3"/>
  <c r="H25" i="3" s="1"/>
  <c r="G24" i="3"/>
  <c r="F24" i="3"/>
  <c r="H24" i="3" s="1"/>
  <c r="G23" i="3"/>
  <c r="F23" i="3"/>
  <c r="H23" i="3" s="1"/>
  <c r="G22" i="3"/>
  <c r="F22" i="3"/>
  <c r="H22" i="3" s="1"/>
  <c r="G21" i="3"/>
  <c r="F21" i="3"/>
  <c r="H21" i="3" s="1"/>
  <c r="G20" i="3"/>
  <c r="F20" i="3"/>
  <c r="H20" i="3" s="1"/>
  <c r="G19" i="3"/>
  <c r="F19" i="3"/>
  <c r="H19" i="3" s="1"/>
  <c r="G18" i="3"/>
  <c r="F18" i="3"/>
  <c r="H18" i="3" s="1"/>
  <c r="G17" i="3"/>
  <c r="F17" i="3"/>
  <c r="H17" i="3" s="1"/>
  <c r="H16" i="3"/>
  <c r="G16" i="3"/>
  <c r="F16" i="3"/>
  <c r="G15" i="3"/>
  <c r="F15" i="3"/>
  <c r="H15" i="3" s="1"/>
  <c r="G14" i="3"/>
  <c r="F14" i="3"/>
  <c r="H14" i="3" s="1"/>
  <c r="H13" i="3"/>
  <c r="G13" i="3"/>
  <c r="F13" i="3"/>
  <c r="G12" i="3"/>
  <c r="F12" i="3"/>
  <c r="H12" i="3" s="1"/>
  <c r="G11" i="3"/>
  <c r="F11" i="3"/>
  <c r="H11" i="3" s="1"/>
  <c r="G10" i="3"/>
  <c r="F10" i="3"/>
  <c r="H10" i="3" s="1"/>
  <c r="G9" i="3"/>
  <c r="F9" i="3"/>
  <c r="H9" i="3" s="1"/>
  <c r="G8" i="3"/>
  <c r="F8" i="3"/>
  <c r="H8" i="3" s="1"/>
  <c r="G7" i="3"/>
  <c r="F7" i="3"/>
  <c r="H7" i="3" s="1"/>
  <c r="G6" i="3"/>
  <c r="F6" i="3"/>
  <c r="H6" i="3" s="1"/>
  <c r="M5" i="3"/>
  <c r="G5" i="3"/>
  <c r="F5" i="3"/>
  <c r="H5" i="3" s="1"/>
  <c r="G4" i="3"/>
  <c r="F4" i="3"/>
  <c r="H4" i="3" s="1"/>
  <c r="G3" i="3"/>
  <c r="F3" i="3"/>
  <c r="H3" i="3" s="1"/>
  <c r="G2" i="3"/>
  <c r="F2" i="3"/>
  <c r="H2" i="3" s="1"/>
  <c r="M9" i="3" l="1"/>
  <c r="M3" i="3"/>
</calcChain>
</file>

<file path=xl/sharedStrings.xml><?xml version="1.0" encoding="utf-8"?>
<sst xmlns="http://schemas.openxmlformats.org/spreadsheetml/2006/main" count="206" uniqueCount="38">
  <si>
    <t>Date</t>
  </si>
  <si>
    <t>Sales Person</t>
  </si>
  <si>
    <t>Region</t>
  </si>
  <si>
    <t>Product</t>
  </si>
  <si>
    <t>Units Sold</t>
  </si>
  <si>
    <t>Unit Price</t>
  </si>
  <si>
    <t>Cost of Goods</t>
  </si>
  <si>
    <t>Total Sales</t>
  </si>
  <si>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</si>
  <si>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</si>
  <si>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</si>
  <si>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</si>
  <si>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</si>
  <si>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</si>
  <si>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</si>
  <si>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</si>
  <si>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</si>
  <si>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</si>
  <si>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</si>
  <si>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</si>
  <si>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</si>
  <si>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</si>
  <si>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</si>
  <si>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</si>
  <si>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</si>
  <si>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</si>
  <si>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</si>
  <si>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</si>
  <si>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Smartphone</t>
  </si>
  <si>
    <t>profit</t>
  </si>
  <si>
    <t>GRAND TOTAL</t>
  </si>
  <si>
    <t>TOTAL UNIT SOLD</t>
  </si>
  <si>
    <t>TOTAL PROFIT</t>
  </si>
  <si>
    <t>AVERAGE SALES</t>
  </si>
  <si>
    <t>Row Labels</t>
  </si>
  <si>
    <t>Grand Total</t>
  </si>
  <si>
    <t>Sum of Total Sales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</si>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</sst>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quot;Rs.&quot;\ * #,##0_ ;_ &quot;Rs.&quot;\ * \-#,##0_ ;_ &quot;Rs.&quot;\ * &quot;-&quot;_ ;_ @_ "/>
    <numFmt numFmtId="165" formatCode="_ * #,##0.00_ ;_ * \-#,##0.00_ ;_ * &quot;-&quot;??_ ;_ @_ "/>
  </numFmts>
  <fonts count="5" x14ac:knownFonts="1">
    <font>
      <sz val="11"/>
      <color theme="1"/>
      <name val="Aptos Narrow"/>
      <family val="2"/>
      <scheme val="minor"/>
    </font>
    <font>
      <sz val="11"/>
      <color theme="1"/>
      <name val="Aptos Narrow"/>
      <family val="2"/>
      <scheme val="minor"/>
    </font>
    <font>
      <sz val="11"/>
      <color theme="0"/>
      <name val="Aptos Narrow"/>
      <family val="2"/>
      <scheme val="minor"/>
    </font>
    <font>
      <sz val="8"/>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002060"/>
        <bgColor indexed="64"/>
      </patternFill>
    </fill>
  </fills>
  <borders count="14">
    <border>
      <left/>
      <right/>
      <top/>
      <bottom/>
      <diagonal/>
    </border>
    <border>
      <left/>
      <right/>
      <top/>
      <bottom style="thick">
        <color rgb="FFFFC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3">
    <xf numFmtId="0" fontId="0" fillId="0" borderId="0"/>
    <xf numFmtId="164" fontId="1" fillId="0" borderId="0" applyFont="0" applyFill="0" applyBorder="0" applyAlignment="0" applyProtection="0"/>
    <xf numFmtId="165" fontId="1" fillId="0" borderId="0" applyFont="0" applyFill="0" applyBorder="0" applyAlignment="0" applyProtection="0"/>
  </cellStyleXfs>
  <cellXfs count="22">
    <xf numFmtId="0" fontId="0" fillId="0" borderId="0" xfId="0"/>
    <xf numFmtId="0" fontId="2" fillId="2" borderId="1" xfId="0" applyFont="1" applyFill="1" applyBorder="1" applyAlignment="1">
      <alignment horizontal="center" vertical="center"/>
    </xf>
    <xf numFmtId="14" fontId="0" fillId="0" borderId="0" xfId="0" applyNumberFormat="1" applyAlignment="1">
      <alignment horizontal="center"/>
    </xf>
    <xf numFmtId="0" fontId="0" fillId="0" borderId="0" xfId="0" applyAlignment="1">
      <alignment horizontal="left"/>
    </xf>
    <xf numFmtId="164" fontId="0" fillId="0" borderId="0" xfId="1" applyFont="1"/>
    <xf numFmtId="0" fontId="2" fillId="2" borderId="0" xfId="0" applyFont="1" applyFill="1" applyAlignment="1">
      <alignment horizontal="center" vertical="center"/>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0" xfId="0" pivotButton="1"/>
    <xf numFmtId="164" fontId="0" fillId="0" borderId="0" xfId="0" applyNumberFormat="1"/>
    <xf numFmtId="0" fontId="4" fillId="0" borderId="0" xfId="0" applyFont="1"/>
    <xf numFmtId="164" fontId="0" fillId="0" borderId="2" xfId="0" applyNumberFormat="1" applyBorder="1"/>
    <xf numFmtId="0" fontId="0" fillId="0" borderId="3" xfId="0" applyBorder="1"/>
    <xf numFmtId="0" fontId="0" fillId="0" borderId="4" xfId="0" applyBorder="1"/>
    <xf numFmtId="0" fontId="0" fillId="0" borderId="2" xfId="0" applyBorder="1"/>
  </cellXfs>
  <cellStyles count="3">
    <cellStyle name="Comma 2" xfId="2" xr:uid="{91AD9AB7-A821-4A34-A3F6-E3AD8A97A275}"/>
    <cellStyle name="Currency [0]" xfId="1" builtinId="7"/>
    <cellStyle name="Normal" xfId="0" builtinId="0"/>
  </cellStyles>
  <dxfs count="2">
    <dxf>
      <fill>
        <patternFill>
          <bgColor theme="9" tint="-0.499984740745262"/>
        </patternFill>
      </fill>
    </dxf>
    <dxf>
      <fill>
        <patternFill>
          <bgColor theme="9" tint="-0.499984740745262"/>
        </patternFill>
      </fill>
    </dxf>
  </dxfs>
  <tableStyles count="4" defaultTableStyle="TableStyleMedium2" defaultPivotStyle="PivotStyleLight16">
    <tableStyle name="Invisible" pivot="0" table="0" count="0" xr9:uid="{BDFCBA0C-0FAD-47E9-B8E0-311E6D449765}"/>
    <tableStyle name="Slicer Style 1" pivot="0" table="0" count="1" xr9:uid="{748205CC-659D-4ADD-B02B-11C577797718}">
      <tableStyleElement type="wholeTable" dxfId="1"/>
    </tableStyle>
    <tableStyle name="Slicer Style 2" pivot="0" table="0" count="1" xr9:uid="{759D045D-D48F-49F5-A54C-67503046EF91}">
      <tableStyleElement type="wholeTable" dxfId="0"/>
    </tableStyle>
    <tableStyle name="Slicer Style 3" pivot="0" table="0" count="0" xr9:uid="{73067742-10BC-4660-A938-D380622DAAC9}"/>
  </tableStyles>
  <colors>
    <mruColors>
      <color rgb="FFC0F4FE"/>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Dataset.xlsx]Sheet3!PivotTable11</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1607538112"/>
        <c:axId val="1607538592"/>
      </c:barChart>
      <c:catAx>
        <c:axId val="160753811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538592"/>
        <c:crosses val="autoZero"/>
        <c:auto val="1"/>
        <c:lblAlgn val="ctr"/>
        <c:lblOffset val="100"/>
        <c:noMultiLvlLbl val="0"/>
      </c:catAx>
      <c:valAx>
        <c:axId val="1607538592"/>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53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Dataset.xlsx]Sheet1!PivotTable1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noFill/>
          </a:ln>
          <a:effectLst>
            <a:outerShdw blurRad="254000" sx="102000" sy="102000" algn="ctr" rotWithShape="0">
              <a:prstClr val="black">
                <a:alpha val="20000"/>
              </a:prstClr>
            </a:outerShdw>
          </a:effectLst>
        </c:spPr>
        <c:dLbl>
          <c:idx val="0"/>
          <c:layout>
            <c:manualLayout>
              <c:x val="0.20277777777777778"/>
              <c:y val="-0.10272868000723959"/>
            </c:manualLayout>
          </c:layout>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0.18611111111111114"/>
              <c:y val="-8.9887595006334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50000"/>
              <a:lumOff val="50000"/>
            </a:schemeClr>
          </a:solidFill>
          <a:ln>
            <a:noFill/>
          </a:ln>
          <a:effectLst>
            <a:outerShdw blurRad="254000" sx="102000" sy="102000" algn="ctr" rotWithShape="0">
              <a:prstClr val="black">
                <a:alpha val="20000"/>
              </a:prstClr>
            </a:outerShdw>
          </a:effectLst>
        </c:spPr>
        <c:dLbl>
          <c:idx val="0"/>
          <c:layout>
            <c:manualLayout>
              <c:x val="0.17499999999999999"/>
              <c:y val="5.9925063337556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40000"/>
              <a:lumOff val="60000"/>
            </a:schemeClr>
          </a:solidFill>
          <a:ln>
            <a:noFill/>
          </a:ln>
          <a:effectLst>
            <a:outerShdw blurRad="254000" sx="102000" sy="102000" algn="ctr" rotWithShape="0">
              <a:prstClr val="black">
                <a:alpha val="20000"/>
              </a:prstClr>
            </a:outerShdw>
          </a:effectLst>
        </c:spPr>
        <c:dLbl>
          <c:idx val="0"/>
          <c:layout>
            <c:manualLayout>
              <c:x val="-0.18611111111111112"/>
              <c:y val="6.420542500452464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Sheet1!$B$3</c:f>
              <c:strCache>
                <c:ptCount val="1"/>
                <c:pt idx="0">
                  <c:v>Total</c:v>
                </c:pt>
              </c:strCache>
            </c:strRef>
          </c:tx>
          <c:dPt>
            <c:idx val="0"/>
            <c:bubble3D val="0"/>
            <c:spPr>
              <a:solidFill>
                <a:schemeClr val="accent6">
                  <a:lumMod val="40000"/>
                  <a:lumOff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9B4D-4149-8355-A1AE3E5D7213}"/>
              </c:ext>
            </c:extLst>
          </c:dPt>
          <c:dPt>
            <c:idx val="1"/>
            <c:bubble3D val="0"/>
            <c:spPr>
              <a:solidFill>
                <a:schemeClr val="tx1">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9B4D-4149-8355-A1AE3E5D7213}"/>
              </c:ext>
            </c:extLst>
          </c:dPt>
          <c:dPt>
            <c:idx val="2"/>
            <c:bubble3D val="0"/>
            <c:spPr>
              <a:solidFill>
                <a:schemeClr val="accent4">
                  <a:lumMod val="40000"/>
                  <a:lumOff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B4D-4149-8355-A1AE3E5D721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B4D-4149-8355-A1AE3E5D7213}"/>
              </c:ext>
            </c:extLst>
          </c:dPt>
          <c:dLbls>
            <c:dLbl>
              <c:idx val="0"/>
              <c:layout>
                <c:manualLayout>
                  <c:x val="0.20277777777777778"/>
                  <c:y val="-0.10272868000723959"/>
                </c:manualLayout>
              </c:layout>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B4D-4149-8355-A1AE3E5D7213}"/>
                </c:ext>
              </c:extLst>
            </c:dLbl>
            <c:dLbl>
              <c:idx val="1"/>
              <c:layout>
                <c:manualLayout>
                  <c:x val="0.17499999999999999"/>
                  <c:y val="5.992506333755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B4D-4149-8355-A1AE3E5D7213}"/>
                </c:ext>
              </c:extLst>
            </c:dLbl>
            <c:dLbl>
              <c:idx val="2"/>
              <c:layout>
                <c:manualLayout>
                  <c:x val="-0.18611111111111112"/>
                  <c:y val="6.42054250045246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B4D-4149-8355-A1AE3E5D7213}"/>
                </c:ext>
              </c:extLst>
            </c:dLbl>
            <c:dLbl>
              <c:idx val="3"/>
              <c:layout>
                <c:manualLayout>
                  <c:x val="-0.18611111111111114"/>
                  <c:y val="-8.988759500633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B4D-4149-8355-A1AE3E5D7213}"/>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Sheet1!$A$4:$A$8</c:f>
              <c:strCache>
                <c:ptCount val="4"/>
                <c:pt idx="0">
                  <c:v>East</c:v>
                </c:pt>
                <c:pt idx="1">
                  <c:v>North</c:v>
                </c:pt>
                <c:pt idx="2">
                  <c:v>South</c:v>
                </c:pt>
                <c:pt idx="3">
                  <c:v>West</c:v>
                </c:pt>
              </c:strCache>
            </c:strRef>
          </c:cat>
          <c:val>
            <c:numRef>
              <c:f>Sheet1!$B$4:$B$8</c:f>
              <c:numCache>
                <c:formatCode>_ "Rs."\ * #,##0_ ;_ "Rs."\ * \-#,##0_ ;_ "Rs."\ * "-"_ ;_ @_ </c:formatCode>
                <c:ptCount val="4"/>
                <c:pt idx="0">
                  <c:v>3534400</c:v>
                </c:pt>
                <c:pt idx="1">
                  <c:v>2661400</c:v>
                </c:pt>
                <c:pt idx="2">
                  <c:v>2870600</c:v>
                </c:pt>
                <c:pt idx="3">
                  <c:v>3878100</c:v>
                </c:pt>
              </c:numCache>
            </c:numRef>
          </c:val>
          <c:extLst>
            <c:ext xmlns:c16="http://schemas.microsoft.com/office/drawing/2014/chart" uri="{C3380CC4-5D6E-409C-BE32-E72D297353CC}">
              <c16:uniqueId val="{00000000-9B4D-4149-8355-A1AE3E5D721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Dataset.xlsx]Sheet1!PivotTable4</c:name>
    <c:fmtId val="10"/>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pivotFmt>
      <c:pivotFmt>
        <c:idx val="2"/>
        <c:spPr>
          <a:solidFill>
            <a:schemeClr val="accent5"/>
          </a:solidFill>
          <a:ln>
            <a:noFill/>
          </a:ln>
          <a:effectLst/>
        </c:spPr>
      </c:pivotFmt>
      <c:pivotFmt>
        <c:idx val="3"/>
        <c:spPr>
          <a:solidFill>
            <a:schemeClr val="accent5"/>
          </a:solidFill>
          <a:ln>
            <a:noFill/>
          </a:ln>
          <a:effectLst/>
        </c:spPr>
      </c:pivotFmt>
      <c:pivotFmt>
        <c:idx val="4"/>
        <c:spPr>
          <a:solidFill>
            <a:schemeClr val="accent5"/>
          </a:solidFill>
          <a:ln>
            <a:noFill/>
          </a:ln>
          <a:effectLst/>
        </c:spPr>
      </c:pivotFmt>
      <c:pivotFmt>
        <c:idx val="5"/>
        <c:spPr>
          <a:solidFill>
            <a:schemeClr val="accent5"/>
          </a:solidFill>
          <a:ln>
            <a:noFill/>
          </a:ln>
          <a:effectLst/>
        </c:spPr>
      </c:pivotFmt>
      <c:pivotFmt>
        <c:idx val="6"/>
        <c:spPr>
          <a:solidFill>
            <a:schemeClr val="accent5"/>
          </a:solidFill>
          <a:ln>
            <a:noFill/>
          </a:ln>
          <a:effectLst/>
        </c:spPr>
        <c:dLbl>
          <c:idx val="0"/>
          <c:layout>
            <c:manualLayout>
              <c:x val="0.11700680272108839"/>
              <c:y val="0"/>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Times New Roman" panose="020206030504050203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4014955273447963"/>
                  <c:h val="6.6527730964780277E-2"/>
                </c:manualLayout>
              </c15:layout>
            </c:ext>
          </c:extLst>
        </c:dLbl>
      </c:pivotFmt>
      <c:pivotFmt>
        <c:idx val="7"/>
        <c:spPr>
          <a:solidFill>
            <a:schemeClr val="accent5"/>
          </a:solidFill>
          <a:ln>
            <a:noFill/>
          </a:ln>
          <a:effectLst/>
        </c:spPr>
      </c:pivotFmt>
    </c:pivotFmts>
    <c:plotArea>
      <c:layout>
        <c:manualLayout>
          <c:layoutTarget val="inner"/>
          <c:xMode val="edge"/>
          <c:yMode val="edge"/>
          <c:x val="0.207517274626386"/>
          <c:y val="3.2463774043368532E-2"/>
          <c:w val="0.74531714785651793"/>
          <c:h val="0.89797099586369888"/>
        </c:manualLayout>
      </c:layout>
      <c:barChart>
        <c:barDir val="bar"/>
        <c:grouping val="stacked"/>
        <c:varyColors val="0"/>
        <c:ser>
          <c:idx val="0"/>
          <c:order val="0"/>
          <c:tx>
            <c:strRef>
              <c:f>Sheet1!$E$3</c:f>
              <c:strCache>
                <c:ptCount val="1"/>
                <c:pt idx="0">
                  <c:v>Total</c:v>
                </c:pt>
              </c:strCache>
            </c:strRef>
          </c:tx>
          <c:spPr>
            <a:solidFill>
              <a:schemeClr val="accent5"/>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7-943E-4488-9A50-739DBCD8B762}"/>
              </c:ext>
            </c:extLst>
          </c:dPt>
          <c:dLbls>
            <c:dLbl>
              <c:idx val="0"/>
              <c:layout>
                <c:manualLayout>
                  <c:x val="0.11700680272108839"/>
                  <c:y val="0"/>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Times New Roman" panose="020206030504050203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4014955273447963"/>
                      <c:h val="6.6527730964780277E-2"/>
                    </c:manualLayout>
                  </c15:layout>
                </c:ext>
                <c:ext xmlns:c16="http://schemas.microsoft.com/office/drawing/2014/chart" uri="{C3380CC4-5D6E-409C-BE32-E72D297353CC}">
                  <c16:uniqueId val="{00000007-943E-4488-9A50-739DBCD8B7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Sheet1!$D$4:$D$11</c:f>
              <c:strCache>
                <c:ptCount val="7"/>
                <c:pt idx="0">
                  <c:v>Action Figure</c:v>
                </c:pt>
                <c:pt idx="1">
                  <c:v>Blender</c:v>
                </c:pt>
                <c:pt idx="2">
                  <c:v>Moisturizer</c:v>
                </c:pt>
                <c:pt idx="3">
                  <c:v>Novel</c:v>
                </c:pt>
                <c:pt idx="4">
                  <c:v>Smartphone</c:v>
                </c:pt>
                <c:pt idx="5">
                  <c:v>Sneakers</c:v>
                </c:pt>
                <c:pt idx="6">
                  <c:v>Tent</c:v>
                </c:pt>
              </c:strCache>
            </c:strRef>
          </c:cat>
          <c:val>
            <c:numRef>
              <c:f>Sheet1!$E$4:$E$11</c:f>
              <c:numCache>
                <c:formatCode>_ "Rs."\ * #,##0_ ;_ "Rs."\ * \-#,##0_ ;_ "Rs."\ * "-"_ ;_ @_ </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943E-4488-9A50-739DBCD8B762}"/>
            </c:ext>
          </c:extLst>
        </c:ser>
        <c:dLbls>
          <c:dLblPos val="ctr"/>
          <c:showLegendKey val="0"/>
          <c:showVal val="1"/>
          <c:showCatName val="0"/>
          <c:showSerName val="0"/>
          <c:showPercent val="0"/>
          <c:showBubbleSize val="0"/>
        </c:dLbls>
        <c:gapWidth val="79"/>
        <c:overlap val="100"/>
        <c:axId val="1497891440"/>
        <c:axId val="1606430768"/>
      </c:barChart>
      <c:catAx>
        <c:axId val="1497891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06430768"/>
        <c:crosses val="autoZero"/>
        <c:auto val="1"/>
        <c:lblAlgn val="ctr"/>
        <c:lblOffset val="100"/>
        <c:noMultiLvlLbl val="0"/>
      </c:catAx>
      <c:valAx>
        <c:axId val="1606430768"/>
        <c:scaling>
          <c:orientation val="minMax"/>
        </c:scaling>
        <c:delete val="1"/>
        <c:axPos val="b"/>
        <c:title>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_ &quot;Rs.&quot;\ * #,##0_ ;_ &quot;Rs.&quot;\ * \-#,##0_ ;_ &quot;Rs.&quot;\ * &quot;-&quot;_ ;_ @_ " sourceLinked="1"/>
        <c:majorTickMark val="none"/>
        <c:minorTickMark val="none"/>
        <c:tickLblPos val="nextTo"/>
        <c:crossAx val="1497891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Dataset.xlsx]Sheet1!PivotTable6</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rgbClr val="00FFFF"/>
          </a:solidFill>
          <a:ln w="9525" cap="flat" cmpd="sng" algn="ctr">
            <a:solidFill>
              <a:schemeClr val="lt1">
                <a:alpha val="50000"/>
              </a:schemeClr>
            </a:solidFill>
            <a:round/>
          </a:ln>
          <a:effectLst/>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FFFF"/>
          </a:solidFill>
          <a:ln w="9525" cap="flat" cmpd="sng" algn="ctr">
            <a:solidFill>
              <a:schemeClr val="lt1">
                <a:alpha val="50000"/>
              </a:schemeClr>
            </a:solidFill>
            <a:round/>
          </a:ln>
          <a:effectLst/>
        </c:spPr>
        <c:dLbl>
          <c:idx val="0"/>
          <c:layout>
            <c:manualLayout>
              <c:x val="-5.5555555555555558E-3"/>
              <c:y val="-9.3979456485476662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FFFF"/>
          </a:solidFill>
          <a:ln w="9525" cap="flat" cmpd="sng" algn="ctr">
            <a:solidFill>
              <a:schemeClr val="lt1">
                <a:alpha val="50000"/>
              </a:schemeClr>
            </a:solidFill>
            <a:round/>
          </a:ln>
          <a:effectLst/>
        </c:spPr>
      </c:pivotFmt>
      <c:pivotFmt>
        <c:idx val="3"/>
        <c:spPr>
          <a:solidFill>
            <a:srgbClr val="00FFFF"/>
          </a:solidFill>
          <a:ln w="9525" cap="flat" cmpd="sng" algn="ctr">
            <a:solidFill>
              <a:schemeClr val="lt1">
                <a:alpha val="50000"/>
              </a:schemeClr>
            </a:solidFill>
            <a:round/>
          </a:ln>
          <a:effectLst/>
        </c:spPr>
        <c:dLbl>
          <c:idx val="0"/>
          <c:layout>
            <c:manualLayout>
              <c:x val="5.5555555555555552E-2"/>
              <c:y val="-8.2232024424792077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FFFF"/>
          </a:solidFill>
          <a:ln w="9525" cap="flat" cmpd="sng" algn="ctr">
            <a:solidFill>
              <a:schemeClr val="lt1">
                <a:alpha val="50000"/>
              </a:schemeClr>
            </a:solidFill>
            <a:round/>
          </a:ln>
          <a:effectLst/>
        </c:spPr>
      </c:pivotFmt>
      <c:pivotFmt>
        <c:idx val="5"/>
        <c:spPr>
          <a:solidFill>
            <a:srgbClr val="00FFFF"/>
          </a:solidFill>
          <a:ln w="9525" cap="flat" cmpd="sng" algn="ctr">
            <a:solidFill>
              <a:schemeClr val="lt1">
                <a:alpha val="50000"/>
              </a:schemeClr>
            </a:solidFill>
            <a:round/>
          </a:ln>
          <a:effectLst/>
        </c:spPr>
        <c:dLbl>
          <c:idx val="0"/>
          <c:layout>
            <c:manualLayout>
              <c:x val="9.1666666666666466E-2"/>
              <c:y val="-3.9158106868948609E-3"/>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FFFF"/>
          </a:solidFill>
          <a:ln w="9525" cap="flat" cmpd="sng" algn="ctr">
            <a:solidFill>
              <a:schemeClr val="lt1">
                <a:alpha val="50000"/>
              </a:schemeClr>
            </a:solidFill>
            <a:round/>
          </a:ln>
          <a:effectLst/>
        </c:spPr>
        <c:dLbl>
          <c:idx val="0"/>
          <c:layout>
            <c:manualLayout>
              <c:x val="-8.0555555555555575E-2"/>
              <c:y val="-9.397945648547669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FFFF"/>
          </a:solidFill>
          <a:ln w="9525" cap="flat" cmpd="sng" algn="ctr">
            <a:solidFill>
              <a:schemeClr val="lt1">
                <a:alpha val="50000"/>
              </a:schemeClr>
            </a:solidFill>
            <a:round/>
          </a:ln>
          <a:effectLst/>
        </c:spPr>
        <c:dLbl>
          <c:idx val="0"/>
          <c:layout>
            <c:manualLayout>
              <c:x val="-1.1111111111111113E-2"/>
              <c:y val="-7.0484592364107534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FFFF"/>
          </a:solidFill>
          <a:ln w="9525" cap="flat" cmpd="sng" algn="ctr">
            <a:solidFill>
              <a:schemeClr val="lt1">
                <a:alpha val="50000"/>
              </a:schemeClr>
            </a:solidFill>
            <a:round/>
          </a:ln>
          <a:effectLst/>
        </c:spPr>
        <c:dLbl>
          <c:idx val="0"/>
          <c:layout>
            <c:manualLayout>
              <c:x val="1.1111111111111098E-2"/>
              <c:y val="-5.8737160303422985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FFFF"/>
          </a:solidFill>
          <a:ln w="9525" cap="flat" cmpd="sng" algn="ctr">
            <a:solidFill>
              <a:schemeClr val="lt1">
                <a:alpha val="50000"/>
              </a:schemeClr>
            </a:solidFill>
            <a:round/>
          </a:ln>
          <a:effectLst/>
        </c:spPr>
        <c:dLbl>
          <c:idx val="0"/>
          <c:layout>
            <c:manualLayout>
              <c:x val="-5.5555555555555558E-3"/>
              <c:y val="-9.3979456485476662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Sheet1!$I$2</c:f>
              <c:strCache>
                <c:ptCount val="1"/>
                <c:pt idx="0">
                  <c:v>Total</c:v>
                </c:pt>
              </c:strCache>
            </c:strRef>
          </c:tx>
          <c:spPr>
            <a:solidFill>
              <a:srgbClr val="00FFFF"/>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A-F9E5-4888-B372-BA8BE311F1C5}"/>
              </c:ext>
            </c:extLst>
          </c:dPt>
          <c:dPt>
            <c:idx val="1"/>
            <c:invertIfNegative val="0"/>
            <c:bubble3D val="0"/>
            <c:extLst>
              <c:ext xmlns:c16="http://schemas.microsoft.com/office/drawing/2014/chart" uri="{C3380CC4-5D6E-409C-BE32-E72D297353CC}">
                <c16:uniqueId val="{0000000B-F9E5-4888-B372-BA8BE311F1C5}"/>
              </c:ext>
            </c:extLst>
          </c:dPt>
          <c:dPt>
            <c:idx val="2"/>
            <c:invertIfNegative val="0"/>
            <c:bubble3D val="0"/>
            <c:extLst>
              <c:ext xmlns:c16="http://schemas.microsoft.com/office/drawing/2014/chart" uri="{C3380CC4-5D6E-409C-BE32-E72D297353CC}">
                <c16:uniqueId val="{00000009-F9E5-4888-B372-BA8BE311F1C5}"/>
              </c:ext>
            </c:extLst>
          </c:dPt>
          <c:dPt>
            <c:idx val="3"/>
            <c:invertIfNegative val="0"/>
            <c:bubble3D val="0"/>
            <c:extLst>
              <c:ext xmlns:c16="http://schemas.microsoft.com/office/drawing/2014/chart" uri="{C3380CC4-5D6E-409C-BE32-E72D297353CC}">
                <c16:uniqueId val="{0000000C-F9E5-4888-B372-BA8BE311F1C5}"/>
              </c:ext>
            </c:extLst>
          </c:dPt>
          <c:dPt>
            <c:idx val="4"/>
            <c:invertIfNegative val="0"/>
            <c:bubble3D val="0"/>
            <c:extLst>
              <c:ext xmlns:c16="http://schemas.microsoft.com/office/drawing/2014/chart" uri="{C3380CC4-5D6E-409C-BE32-E72D297353CC}">
                <c16:uniqueId val="{00000004-F9E5-4888-B372-BA8BE311F1C5}"/>
              </c:ext>
            </c:extLst>
          </c:dPt>
          <c:dPt>
            <c:idx val="5"/>
            <c:invertIfNegative val="0"/>
            <c:bubble3D val="0"/>
            <c:extLst>
              <c:ext xmlns:c16="http://schemas.microsoft.com/office/drawing/2014/chart" uri="{C3380CC4-5D6E-409C-BE32-E72D297353CC}">
                <c16:uniqueId val="{0000000B-F1BA-45E7-95F8-9C61DD58F3B2}"/>
              </c:ext>
            </c:extLst>
          </c:dPt>
          <c:dPt>
            <c:idx val="6"/>
            <c:invertIfNegative val="0"/>
            <c:bubble3D val="0"/>
            <c:extLst>
              <c:ext xmlns:c16="http://schemas.microsoft.com/office/drawing/2014/chart" uri="{C3380CC4-5D6E-409C-BE32-E72D297353CC}">
                <c16:uniqueId val="{00000005-F9E5-4888-B372-BA8BE311F1C5}"/>
              </c:ext>
            </c:extLst>
          </c:dPt>
          <c:dPt>
            <c:idx val="7"/>
            <c:invertIfNegative val="0"/>
            <c:bubble3D val="0"/>
            <c:extLst>
              <c:ext xmlns:c16="http://schemas.microsoft.com/office/drawing/2014/chart" uri="{C3380CC4-5D6E-409C-BE32-E72D297353CC}">
                <c16:uniqueId val="{00000006-F9E5-4888-B372-BA8BE311F1C5}"/>
              </c:ext>
            </c:extLst>
          </c:dPt>
          <c:dPt>
            <c:idx val="8"/>
            <c:invertIfNegative val="0"/>
            <c:bubble3D val="0"/>
            <c:extLst>
              <c:ext xmlns:c16="http://schemas.microsoft.com/office/drawing/2014/chart" uri="{C3380CC4-5D6E-409C-BE32-E72D297353CC}">
                <c16:uniqueId val="{00000007-F9E5-4888-B372-BA8BE311F1C5}"/>
              </c:ext>
            </c:extLst>
          </c:dPt>
          <c:dPt>
            <c:idx val="9"/>
            <c:invertIfNegative val="0"/>
            <c:bubble3D val="0"/>
            <c:extLst>
              <c:ext xmlns:c16="http://schemas.microsoft.com/office/drawing/2014/chart" uri="{C3380CC4-5D6E-409C-BE32-E72D297353CC}">
                <c16:uniqueId val="{00000008-F9E5-4888-B372-BA8BE311F1C5}"/>
              </c:ext>
            </c:extLst>
          </c:dPt>
          <c:dLbls>
            <c:dLbl>
              <c:idx val="0"/>
              <c:layout>
                <c:manualLayout>
                  <c:x val="-1.1111111111111113E-2"/>
                  <c:y val="-7.048459236410753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9E5-4888-B372-BA8BE311F1C5}"/>
                </c:ext>
              </c:extLst>
            </c:dLbl>
            <c:dLbl>
              <c:idx val="1"/>
              <c:layout>
                <c:manualLayout>
                  <c:x val="1.1111111111111098E-2"/>
                  <c:y val="-5.873716030342298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9E5-4888-B372-BA8BE311F1C5}"/>
                </c:ext>
              </c:extLst>
            </c:dLbl>
            <c:dLbl>
              <c:idx val="2"/>
              <c:layout>
                <c:manualLayout>
                  <c:x val="-8.0555555555555575E-2"/>
                  <c:y val="-9.39794564854766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9E5-4888-B372-BA8BE311F1C5}"/>
                </c:ext>
              </c:extLst>
            </c:dLbl>
            <c:dLbl>
              <c:idx val="3"/>
              <c:layout>
                <c:manualLayout>
                  <c:x val="-5.5555555555555558E-3"/>
                  <c:y val="-9.397945648547666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9E5-4888-B372-BA8BE311F1C5}"/>
                </c:ext>
              </c:extLst>
            </c:dLbl>
            <c:dLbl>
              <c:idx val="4"/>
              <c:layout>
                <c:manualLayout>
                  <c:x val="-5.5555555555555558E-3"/>
                  <c:y val="-9.397945648547666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9E5-4888-B372-BA8BE311F1C5}"/>
                </c:ext>
              </c:extLst>
            </c:dLbl>
            <c:dLbl>
              <c:idx val="5"/>
              <c:layout>
                <c:manualLayout>
                  <c:x val="-5.5555555555555558E-3"/>
                  <c:y val="-9.397945648547666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1BA-45E7-95F8-9C61DD58F3B2}"/>
                </c:ext>
              </c:extLst>
            </c:dLbl>
            <c:dLbl>
              <c:idx val="7"/>
              <c:layout>
                <c:manualLayout>
                  <c:x val="5.5555555555555552E-2"/>
                  <c:y val="-8.223202442479207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9E5-4888-B372-BA8BE311F1C5}"/>
                </c:ext>
              </c:extLst>
            </c:dLbl>
            <c:dLbl>
              <c:idx val="9"/>
              <c:layout>
                <c:manualLayout>
                  <c:x val="9.1666666666666466E-2"/>
                  <c:y val="-3.915810686894860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9E5-4888-B372-BA8BE311F1C5}"/>
                </c:ext>
              </c:extLst>
            </c:dLbl>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Sheet1!$H$3:$H$13</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Sheet1!$I$3:$I$13</c:f>
              <c:numCache>
                <c:formatCode>_ "Rs."\ * #,##0_ ;_ "Rs."\ * \-#,##0_ ;_ "Rs."\ * "-"_ ;_ @_ </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F9E5-4888-B372-BA8BE311F1C5}"/>
            </c:ext>
          </c:extLst>
        </c:ser>
        <c:dLbls>
          <c:dLblPos val="inEnd"/>
          <c:showLegendKey val="0"/>
          <c:showVal val="1"/>
          <c:showCatName val="0"/>
          <c:showSerName val="0"/>
          <c:showPercent val="0"/>
          <c:showBubbleSize val="0"/>
        </c:dLbls>
        <c:gapWidth val="65"/>
        <c:axId val="911719584"/>
        <c:axId val="910591104"/>
      </c:barChart>
      <c:catAx>
        <c:axId val="9117195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0591104"/>
        <c:crosses val="autoZero"/>
        <c:auto val="1"/>
        <c:lblAlgn val="ctr"/>
        <c:lblOffset val="100"/>
        <c:noMultiLvlLbl val="0"/>
      </c:catAx>
      <c:valAx>
        <c:axId val="91059110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quot;Rs.&quot;\ * #,##0_ ;_ &quot;Rs.&quot;\ * \-#,##0_ ;_ &quot;Rs.&quot;\ * &quot;-&quot;_ ;_ @_ " sourceLinked="1"/>
        <c:majorTickMark val="none"/>
        <c:minorTickMark val="none"/>
        <c:tickLblPos val="nextTo"/>
        <c:crossAx val="911719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Dataset.xlsx]Sheet1!PivotTable7</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Sheet1!$L$3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Sheet1!$K$4:$K$14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Sheet1!$L$4:$L$14</c:f>
              <c:numCache>
                <c:formatCode>General</c:formatCode>
                <c:ptCount val="10"/>
                <c:pt idx="0">
                  <c:v>475</c:v>
                </c:pt>
                <c:pt idx="1">
                  <c:v>401</c:v>
                </c:pt>
                <c:pt idx="2">
                  <c:v>474</c:v>
                </c:pt>
                <c:pt idx="3">
                  <c:v>427</c:v>
                </c:pt>
                <c:pt idx="4">
                  <c:v>439</c:v>
                </c:pt>
                <c:pt idx="5">
                  <c:v>579</c:v>
                </c:pt>
                <c:pt idx="6">
                  <c:v>479</c:v>
                </c:pt>
                <c:pt idx="7">
                  <c:v>653</c:v>
                </c:pt>
                <c:pt idx="8">
                  <c:v>557</c:v>
                </c:pt>
                <c:pt idx="9">
                  <c:v>221</c:v>
                </c:pt>
              </c:numCache>
            </c:numRef>
          </c:val>
          <c:smooth val="0"/>
          <c:extLst>
            <c:ext xmlns:c16="http://schemas.microsoft.com/office/drawing/2014/chart" uri="{C3380CC4-5D6E-409C-BE32-E72D297353CC}">
              <c16:uniqueId val="{00000000-C5CD-4AA6-8772-F5E71DF5A012}"/>
            </c:ext>
          </c:extLst>
        </c:ser>
        <c:dLbls>
          <c:dLblPos val="ctr"/>
          <c:showLegendKey val="0"/>
          <c:showVal val="1"/>
          <c:showCatName val="0"/>
          <c:showSerName val="0"/>
          <c:showPercent val="0"/>
          <c:showBubbleSize val="0"/>
        </c:dLbls>
        <c:marker val="1"/>
        <c:smooth val="0"/>
        <c:axId val="1605452368"/>
        <c:axId val="1605452848"/>
      </c:lineChart>
      <c:catAx>
        <c:axId val="16054523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05452848"/>
        <c:crosses val="autoZero"/>
        <c:auto val="1"/>
        <c:lblAlgn val="ctr"/>
        <c:lblOffset val="100"/>
        <c:noMultiLvlLbl val="0"/>
      </c:catAx>
      <c:valAx>
        <c:axId val="1605452848"/>
        <c:scaling>
          <c:orientation val="minMax"/>
        </c:scaling>
        <c:delete val="1"/>
        <c:axPos val="l"/>
        <c:numFmt formatCode="General" sourceLinked="1"/>
        <c:majorTickMark val="none"/>
        <c:minorTickMark val="none"/>
        <c:tickLblPos val="nextTo"/>
        <c:crossAx val="160545236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Dataset.xlsx]Sheet1!PivotTable7</c:name>
    <c:fmtId val="19"/>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layout>
            <c:manualLayout>
              <c:x val="-0.10358762886597939"/>
              <c:y val="-4.6296296296296335E-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layout>
            <c:manualLayout>
              <c:x val="-0.11733333333333333"/>
              <c:y val="6.9444444444444448E-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layout>
            <c:manualLayout>
              <c:x val="-8.709278350515462E-2"/>
              <c:y val="-7.8703703703703748E-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layout>
            <c:manualLayout>
              <c:x val="-9.5340206185567059E-2"/>
              <c:y val="8.7962962962962965E-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layout>
            <c:manualLayout>
              <c:x val="-2.9360824742268043E-2"/>
              <c:y val="0.1296296296296296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layout>
            <c:manualLayout>
              <c:x val="-8.7092783505154633E-2"/>
              <c:y val="-6.4814814814814811E-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layout>
            <c:manualLayout>
              <c:x val="-7.6096219931271483E-2"/>
              <c:y val="8.7962962962962965E-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layout>
            <c:manualLayout>
              <c:x val="-5.6852233676976047E-2"/>
              <c:y val="-7.8703703703703706E-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layout>
            <c:manualLayout>
              <c:x val="1.1876288659793814E-2"/>
              <c:y val="-6.4814814814814811E-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layout>
            <c:manualLayout>
              <c:x val="-2.6611683848797252E-2"/>
              <c:y val="-0.10185185185185185"/>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layout>
            <c:manualLayout>
              <c:x val="-0.10358762886597939"/>
              <c:y val="-4.6296296296296335E-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layout>
            <c:manualLayout>
              <c:x val="-0.11733333333333333"/>
              <c:y val="6.9444444444444448E-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layout>
            <c:manualLayout>
              <c:x val="-8.709278350515462E-2"/>
              <c:y val="-7.8703703703703748E-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layout>
            <c:manualLayout>
              <c:x val="-9.5340206185567059E-2"/>
              <c:y val="8.7962962962962965E-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layout>
            <c:manualLayout>
              <c:x val="-2.9360824742268043E-2"/>
              <c:y val="0.1296296296296296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layout>
            <c:manualLayout>
              <c:x val="-8.7092783505154633E-2"/>
              <c:y val="-6.4814814814814811E-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layout>
            <c:manualLayout>
              <c:x val="-7.6096219931271483E-2"/>
              <c:y val="8.7962962962962965E-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layout>
            <c:manualLayout>
              <c:x val="-5.6852233676976047E-2"/>
              <c:y val="-7.8703703703703706E-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layout>
            <c:manualLayout>
              <c:x val="1.1876288659793814E-2"/>
              <c:y val="-6.4814814814814811E-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layout>
            <c:manualLayout>
              <c:x val="-2.6611683848797252E-2"/>
              <c:y val="-0.10185185185185185"/>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31750" cap="rnd">
            <a:solidFill>
              <a:schemeClr val="accent6">
                <a:lumMod val="40000"/>
                <a:lumOff val="60000"/>
              </a:schemeClr>
            </a:solidFill>
            <a:round/>
          </a:ln>
          <a:effectLst/>
        </c:spPr>
        <c:marker>
          <c:symbol val="circle"/>
          <c:size val="17"/>
          <c:spPr>
            <a:solidFill>
              <a:schemeClr val="accent6">
                <a:lumMod val="40000"/>
                <a:lumOff val="60000"/>
              </a:schemeClr>
            </a:solidFill>
            <a:ln>
              <a:solidFill>
                <a:schemeClr val="accent6">
                  <a:lumMod val="40000"/>
                  <a:lumOff val="60000"/>
                </a:schemeClr>
              </a:solidFill>
            </a:ln>
            <a:effectLst/>
          </c:spPr>
        </c:marker>
        <c:dLbl>
          <c:idx val="0"/>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5"/>
        <c:spPr>
          <a:ln w="31750" cap="rnd">
            <a:solidFill>
              <a:schemeClr val="accent6">
                <a:lumMod val="40000"/>
                <a:lumOff val="60000"/>
              </a:schemeClr>
            </a:solidFill>
            <a:round/>
          </a:ln>
          <a:effectLst/>
        </c:spPr>
        <c:marker>
          <c:symbol val="circle"/>
          <c:size val="17"/>
        </c:marker>
        <c:dLbl>
          <c:idx val="0"/>
          <c:layout>
            <c:manualLayout>
              <c:x val="-0.10358762886597939"/>
              <c:y val="-4.6296296296296335E-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31750" cap="rnd">
            <a:solidFill>
              <a:schemeClr val="accent6">
                <a:lumMod val="40000"/>
                <a:lumOff val="60000"/>
              </a:schemeClr>
            </a:solidFill>
            <a:round/>
          </a:ln>
          <a:effectLst/>
        </c:spPr>
        <c:marker>
          <c:symbol val="circle"/>
          <c:size val="17"/>
        </c:marker>
        <c:dLbl>
          <c:idx val="0"/>
          <c:layout>
            <c:manualLayout>
              <c:x val="-0.11733333333333333"/>
              <c:y val="6.9444444444444448E-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31750" cap="rnd">
            <a:solidFill>
              <a:schemeClr val="accent6">
                <a:lumMod val="40000"/>
                <a:lumOff val="60000"/>
              </a:schemeClr>
            </a:solidFill>
            <a:round/>
          </a:ln>
          <a:effectLst/>
        </c:spPr>
        <c:marker>
          <c:symbol val="circle"/>
          <c:size val="17"/>
        </c:marker>
        <c:dLbl>
          <c:idx val="0"/>
          <c:layout>
            <c:manualLayout>
              <c:x val="-8.709278350515462E-2"/>
              <c:y val="-7.8703703703703748E-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31750" cap="rnd">
            <a:solidFill>
              <a:schemeClr val="accent6">
                <a:lumMod val="40000"/>
                <a:lumOff val="60000"/>
              </a:schemeClr>
            </a:solidFill>
            <a:round/>
          </a:ln>
          <a:effectLst/>
        </c:spPr>
        <c:marker>
          <c:symbol val="circle"/>
          <c:size val="17"/>
        </c:marker>
        <c:dLbl>
          <c:idx val="0"/>
          <c:layout>
            <c:manualLayout>
              <c:x val="-9.5340206185567059E-2"/>
              <c:y val="8.7962962962962965E-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31750" cap="rnd">
            <a:solidFill>
              <a:schemeClr val="accent6">
                <a:lumMod val="40000"/>
                <a:lumOff val="60000"/>
              </a:schemeClr>
            </a:solidFill>
            <a:round/>
          </a:ln>
          <a:effectLst/>
        </c:spPr>
        <c:marker>
          <c:symbol val="circle"/>
          <c:size val="17"/>
        </c:marker>
        <c:dLbl>
          <c:idx val="0"/>
          <c:layout>
            <c:manualLayout>
              <c:x val="-2.9360824742268043E-2"/>
              <c:y val="0.1296296296296296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31750" cap="rnd">
            <a:solidFill>
              <a:schemeClr val="accent6">
                <a:lumMod val="40000"/>
                <a:lumOff val="60000"/>
              </a:schemeClr>
            </a:solidFill>
            <a:round/>
          </a:ln>
          <a:effectLst/>
        </c:spPr>
        <c:marker>
          <c:symbol val="circle"/>
          <c:size val="17"/>
        </c:marker>
        <c:dLbl>
          <c:idx val="0"/>
          <c:layout>
            <c:manualLayout>
              <c:x val="-8.7092783505154633E-2"/>
              <c:y val="-6.4814814814814811E-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31750" cap="rnd">
            <a:solidFill>
              <a:schemeClr val="accent6">
                <a:lumMod val="40000"/>
                <a:lumOff val="60000"/>
              </a:schemeClr>
            </a:solidFill>
            <a:round/>
          </a:ln>
          <a:effectLst/>
        </c:spPr>
        <c:marker>
          <c:symbol val="circle"/>
          <c:size val="17"/>
        </c:marker>
        <c:dLbl>
          <c:idx val="0"/>
          <c:layout>
            <c:manualLayout>
              <c:x val="-7.6096219931271483E-2"/>
              <c:y val="8.7962962962962965E-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31750" cap="rnd">
            <a:solidFill>
              <a:schemeClr val="accent6">
                <a:lumMod val="40000"/>
                <a:lumOff val="60000"/>
              </a:schemeClr>
            </a:solidFill>
            <a:round/>
          </a:ln>
          <a:effectLst/>
        </c:spPr>
        <c:marker>
          <c:symbol val="circle"/>
          <c:size val="17"/>
        </c:marker>
        <c:dLbl>
          <c:idx val="0"/>
          <c:layout>
            <c:manualLayout>
              <c:x val="-5.6852233676976047E-2"/>
              <c:y val="-7.8703703703703706E-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31750" cap="rnd">
            <a:solidFill>
              <a:schemeClr val="accent6">
                <a:lumMod val="40000"/>
                <a:lumOff val="60000"/>
              </a:schemeClr>
            </a:solidFill>
            <a:round/>
          </a:ln>
          <a:effectLst/>
        </c:spPr>
        <c:marker>
          <c:symbol val="circle"/>
          <c:size val="17"/>
        </c:marker>
        <c:dLbl>
          <c:idx val="0"/>
          <c:layout>
            <c:manualLayout>
              <c:x val="1.1876288659793814E-2"/>
              <c:y val="-6.4814814814814811E-2"/>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31750" cap="rnd">
            <a:solidFill>
              <a:schemeClr val="accent6">
                <a:lumMod val="40000"/>
                <a:lumOff val="60000"/>
              </a:schemeClr>
            </a:solidFill>
            <a:round/>
          </a:ln>
          <a:effectLst/>
        </c:spPr>
        <c:marker>
          <c:symbol val="circle"/>
          <c:size val="17"/>
        </c:marker>
        <c:dLbl>
          <c:idx val="0"/>
          <c:layout>
            <c:manualLayout>
              <c:x val="-2.6611683848797252E-2"/>
              <c:y val="-0.10185185185185185"/>
            </c:manualLayout>
          </c:layout>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69794676638981"/>
          <c:y val="2.8725108273065813E-3"/>
          <c:w val="0.78046422591873232"/>
          <c:h val="0.69553092461327781"/>
        </c:manualLayout>
      </c:layout>
      <c:lineChart>
        <c:grouping val="stacked"/>
        <c:varyColors val="0"/>
        <c:ser>
          <c:idx val="0"/>
          <c:order val="0"/>
          <c:tx>
            <c:strRef>
              <c:f>Sheet1!$L$3</c:f>
              <c:strCache>
                <c:ptCount val="1"/>
                <c:pt idx="0">
                  <c:v>Total</c:v>
                </c:pt>
              </c:strCache>
            </c:strRef>
          </c:tx>
          <c:spPr>
            <a:ln w="31750" cap="rnd">
              <a:solidFill>
                <a:schemeClr val="accent6">
                  <a:lumMod val="40000"/>
                  <a:lumOff val="60000"/>
                </a:schemeClr>
              </a:solidFill>
              <a:round/>
            </a:ln>
            <a:effectLst/>
          </c:spPr>
          <c:marker>
            <c:symbol val="circle"/>
            <c:size val="17"/>
            <c:spPr>
              <a:solidFill>
                <a:schemeClr val="accent6">
                  <a:lumMod val="40000"/>
                  <a:lumOff val="60000"/>
                </a:schemeClr>
              </a:solidFill>
              <a:ln>
                <a:solidFill>
                  <a:schemeClr val="accent6">
                    <a:lumMod val="40000"/>
                    <a:lumOff val="60000"/>
                  </a:schemeClr>
                </a:solidFill>
              </a:ln>
              <a:effectLst/>
            </c:spPr>
          </c:marker>
          <c:dPt>
            <c:idx val="0"/>
            <c:marker>
              <c:symbol val="circle"/>
              <c:size val="17"/>
              <c:spPr>
                <a:solidFill>
                  <a:schemeClr val="accent6">
                    <a:lumMod val="40000"/>
                    <a:lumOff val="60000"/>
                  </a:schemeClr>
                </a:solidFill>
                <a:ln>
                  <a:solidFill>
                    <a:schemeClr val="accent6">
                      <a:lumMod val="40000"/>
                      <a:lumOff val="60000"/>
                    </a:schemeClr>
                  </a:solidFill>
                </a:ln>
                <a:effectLst/>
              </c:spPr>
            </c:marker>
            <c:bubble3D val="0"/>
            <c:spPr>
              <a:ln w="31750" cap="rnd">
                <a:solidFill>
                  <a:schemeClr val="accent6">
                    <a:lumMod val="40000"/>
                    <a:lumOff val="60000"/>
                  </a:schemeClr>
                </a:solidFill>
                <a:round/>
              </a:ln>
              <a:effectLst/>
            </c:spPr>
            <c:extLst>
              <c:ext xmlns:c16="http://schemas.microsoft.com/office/drawing/2014/chart" uri="{C3380CC4-5D6E-409C-BE32-E72D297353CC}">
                <c16:uniqueId val="{00000000-CEDE-46C2-B354-22C955A7107D}"/>
              </c:ext>
            </c:extLst>
          </c:dPt>
          <c:dPt>
            <c:idx val="1"/>
            <c:marker>
              <c:symbol val="circle"/>
              <c:size val="17"/>
              <c:spPr>
                <a:solidFill>
                  <a:schemeClr val="accent6">
                    <a:lumMod val="40000"/>
                    <a:lumOff val="60000"/>
                  </a:schemeClr>
                </a:solidFill>
                <a:ln>
                  <a:solidFill>
                    <a:schemeClr val="accent6">
                      <a:lumMod val="40000"/>
                      <a:lumOff val="60000"/>
                    </a:schemeClr>
                  </a:solidFill>
                </a:ln>
                <a:effectLst/>
              </c:spPr>
            </c:marker>
            <c:bubble3D val="0"/>
            <c:spPr>
              <a:ln w="31750" cap="rnd">
                <a:solidFill>
                  <a:schemeClr val="accent6">
                    <a:lumMod val="40000"/>
                    <a:lumOff val="60000"/>
                  </a:schemeClr>
                </a:solidFill>
                <a:round/>
              </a:ln>
              <a:effectLst/>
            </c:spPr>
            <c:extLst>
              <c:ext xmlns:c16="http://schemas.microsoft.com/office/drawing/2014/chart" uri="{C3380CC4-5D6E-409C-BE32-E72D297353CC}">
                <c16:uniqueId val="{00000001-CEDE-46C2-B354-22C955A7107D}"/>
              </c:ext>
            </c:extLst>
          </c:dPt>
          <c:dPt>
            <c:idx val="2"/>
            <c:marker>
              <c:symbol val="circle"/>
              <c:size val="17"/>
              <c:spPr>
                <a:solidFill>
                  <a:schemeClr val="accent6">
                    <a:lumMod val="40000"/>
                    <a:lumOff val="60000"/>
                  </a:schemeClr>
                </a:solidFill>
                <a:ln>
                  <a:solidFill>
                    <a:schemeClr val="accent6">
                      <a:lumMod val="40000"/>
                      <a:lumOff val="60000"/>
                    </a:schemeClr>
                  </a:solidFill>
                </a:ln>
                <a:effectLst/>
              </c:spPr>
            </c:marker>
            <c:bubble3D val="0"/>
            <c:spPr>
              <a:ln w="31750" cap="rnd">
                <a:solidFill>
                  <a:schemeClr val="accent6">
                    <a:lumMod val="40000"/>
                    <a:lumOff val="60000"/>
                  </a:schemeClr>
                </a:solidFill>
                <a:round/>
              </a:ln>
              <a:effectLst/>
            </c:spPr>
            <c:extLst>
              <c:ext xmlns:c16="http://schemas.microsoft.com/office/drawing/2014/chart" uri="{C3380CC4-5D6E-409C-BE32-E72D297353CC}">
                <c16:uniqueId val="{00000002-CEDE-46C2-B354-22C955A7107D}"/>
              </c:ext>
            </c:extLst>
          </c:dPt>
          <c:dPt>
            <c:idx val="3"/>
            <c:marker>
              <c:symbol val="circle"/>
              <c:size val="17"/>
              <c:spPr>
                <a:solidFill>
                  <a:schemeClr val="accent6">
                    <a:lumMod val="40000"/>
                    <a:lumOff val="60000"/>
                  </a:schemeClr>
                </a:solidFill>
                <a:ln>
                  <a:solidFill>
                    <a:schemeClr val="accent6">
                      <a:lumMod val="40000"/>
                      <a:lumOff val="60000"/>
                    </a:schemeClr>
                  </a:solidFill>
                </a:ln>
                <a:effectLst/>
              </c:spPr>
            </c:marker>
            <c:bubble3D val="0"/>
            <c:spPr>
              <a:ln w="31750" cap="rnd">
                <a:solidFill>
                  <a:schemeClr val="accent6">
                    <a:lumMod val="40000"/>
                    <a:lumOff val="60000"/>
                  </a:schemeClr>
                </a:solidFill>
                <a:round/>
              </a:ln>
              <a:effectLst/>
            </c:spPr>
            <c:extLst>
              <c:ext xmlns:c16="http://schemas.microsoft.com/office/drawing/2014/chart" uri="{C3380CC4-5D6E-409C-BE32-E72D297353CC}">
                <c16:uniqueId val="{00000003-CEDE-46C2-B354-22C955A7107D}"/>
              </c:ext>
            </c:extLst>
          </c:dPt>
          <c:dPt>
            <c:idx val="4"/>
            <c:marker>
              <c:symbol val="circle"/>
              <c:size val="17"/>
              <c:spPr>
                <a:solidFill>
                  <a:schemeClr val="accent6">
                    <a:lumMod val="40000"/>
                    <a:lumOff val="60000"/>
                  </a:schemeClr>
                </a:solidFill>
                <a:ln>
                  <a:solidFill>
                    <a:schemeClr val="accent6">
                      <a:lumMod val="40000"/>
                      <a:lumOff val="60000"/>
                    </a:schemeClr>
                  </a:solidFill>
                </a:ln>
                <a:effectLst/>
              </c:spPr>
            </c:marker>
            <c:bubble3D val="0"/>
            <c:spPr>
              <a:ln w="31750" cap="rnd">
                <a:solidFill>
                  <a:schemeClr val="accent6">
                    <a:lumMod val="40000"/>
                    <a:lumOff val="60000"/>
                  </a:schemeClr>
                </a:solidFill>
                <a:round/>
              </a:ln>
              <a:effectLst/>
            </c:spPr>
            <c:extLst>
              <c:ext xmlns:c16="http://schemas.microsoft.com/office/drawing/2014/chart" uri="{C3380CC4-5D6E-409C-BE32-E72D297353CC}">
                <c16:uniqueId val="{00000004-CEDE-46C2-B354-22C955A7107D}"/>
              </c:ext>
            </c:extLst>
          </c:dPt>
          <c:dPt>
            <c:idx val="5"/>
            <c:marker>
              <c:symbol val="circle"/>
              <c:size val="17"/>
              <c:spPr>
                <a:solidFill>
                  <a:schemeClr val="accent6">
                    <a:lumMod val="40000"/>
                    <a:lumOff val="60000"/>
                  </a:schemeClr>
                </a:solidFill>
                <a:ln>
                  <a:solidFill>
                    <a:schemeClr val="accent6">
                      <a:lumMod val="40000"/>
                      <a:lumOff val="60000"/>
                    </a:schemeClr>
                  </a:solidFill>
                </a:ln>
                <a:effectLst/>
              </c:spPr>
            </c:marker>
            <c:bubble3D val="0"/>
            <c:spPr>
              <a:ln w="31750" cap="rnd">
                <a:solidFill>
                  <a:schemeClr val="accent6">
                    <a:lumMod val="40000"/>
                    <a:lumOff val="60000"/>
                  </a:schemeClr>
                </a:solidFill>
                <a:round/>
              </a:ln>
              <a:effectLst/>
            </c:spPr>
            <c:extLst>
              <c:ext xmlns:c16="http://schemas.microsoft.com/office/drawing/2014/chart" uri="{C3380CC4-5D6E-409C-BE32-E72D297353CC}">
                <c16:uniqueId val="{00000005-CEDE-46C2-B354-22C955A7107D}"/>
              </c:ext>
            </c:extLst>
          </c:dPt>
          <c:dPt>
            <c:idx val="6"/>
            <c:marker>
              <c:symbol val="circle"/>
              <c:size val="17"/>
              <c:spPr>
                <a:solidFill>
                  <a:schemeClr val="accent6">
                    <a:lumMod val="40000"/>
                    <a:lumOff val="60000"/>
                  </a:schemeClr>
                </a:solidFill>
                <a:ln>
                  <a:solidFill>
                    <a:schemeClr val="accent6">
                      <a:lumMod val="40000"/>
                      <a:lumOff val="60000"/>
                    </a:schemeClr>
                  </a:solidFill>
                </a:ln>
                <a:effectLst/>
              </c:spPr>
            </c:marker>
            <c:bubble3D val="0"/>
            <c:spPr>
              <a:ln w="31750" cap="rnd">
                <a:solidFill>
                  <a:schemeClr val="accent6">
                    <a:lumMod val="40000"/>
                    <a:lumOff val="60000"/>
                  </a:schemeClr>
                </a:solidFill>
                <a:round/>
              </a:ln>
              <a:effectLst/>
            </c:spPr>
            <c:extLst>
              <c:ext xmlns:c16="http://schemas.microsoft.com/office/drawing/2014/chart" uri="{C3380CC4-5D6E-409C-BE32-E72D297353CC}">
                <c16:uniqueId val="{00000006-CEDE-46C2-B354-22C955A7107D}"/>
              </c:ext>
            </c:extLst>
          </c:dPt>
          <c:dPt>
            <c:idx val="7"/>
            <c:marker>
              <c:symbol val="circle"/>
              <c:size val="17"/>
              <c:spPr>
                <a:solidFill>
                  <a:schemeClr val="accent6">
                    <a:lumMod val="40000"/>
                    <a:lumOff val="60000"/>
                  </a:schemeClr>
                </a:solidFill>
                <a:ln>
                  <a:solidFill>
                    <a:schemeClr val="accent6">
                      <a:lumMod val="40000"/>
                      <a:lumOff val="60000"/>
                    </a:schemeClr>
                  </a:solidFill>
                </a:ln>
                <a:effectLst/>
              </c:spPr>
            </c:marker>
            <c:bubble3D val="0"/>
            <c:spPr>
              <a:ln w="31750" cap="rnd">
                <a:solidFill>
                  <a:schemeClr val="accent6">
                    <a:lumMod val="40000"/>
                    <a:lumOff val="60000"/>
                  </a:schemeClr>
                </a:solidFill>
                <a:round/>
              </a:ln>
              <a:effectLst/>
            </c:spPr>
            <c:extLst>
              <c:ext xmlns:c16="http://schemas.microsoft.com/office/drawing/2014/chart" uri="{C3380CC4-5D6E-409C-BE32-E72D297353CC}">
                <c16:uniqueId val="{00000007-CEDE-46C2-B354-22C955A7107D}"/>
              </c:ext>
            </c:extLst>
          </c:dPt>
          <c:dPt>
            <c:idx val="8"/>
            <c:marker>
              <c:symbol val="circle"/>
              <c:size val="17"/>
              <c:spPr>
                <a:solidFill>
                  <a:schemeClr val="accent6">
                    <a:lumMod val="40000"/>
                    <a:lumOff val="60000"/>
                  </a:schemeClr>
                </a:solidFill>
                <a:ln>
                  <a:solidFill>
                    <a:schemeClr val="accent6">
                      <a:lumMod val="40000"/>
                      <a:lumOff val="60000"/>
                    </a:schemeClr>
                  </a:solidFill>
                </a:ln>
                <a:effectLst/>
              </c:spPr>
            </c:marker>
            <c:bubble3D val="0"/>
            <c:spPr>
              <a:ln w="31750" cap="rnd">
                <a:solidFill>
                  <a:schemeClr val="accent6">
                    <a:lumMod val="40000"/>
                    <a:lumOff val="60000"/>
                  </a:schemeClr>
                </a:solidFill>
                <a:round/>
              </a:ln>
              <a:effectLst/>
            </c:spPr>
            <c:extLst>
              <c:ext xmlns:c16="http://schemas.microsoft.com/office/drawing/2014/chart" uri="{C3380CC4-5D6E-409C-BE32-E72D297353CC}">
                <c16:uniqueId val="{00000008-CEDE-46C2-B354-22C955A7107D}"/>
              </c:ext>
            </c:extLst>
          </c:dPt>
          <c:dPt>
            <c:idx val="9"/>
            <c:marker>
              <c:symbol val="circle"/>
              <c:size val="17"/>
              <c:spPr>
                <a:solidFill>
                  <a:schemeClr val="accent6">
                    <a:lumMod val="40000"/>
                    <a:lumOff val="60000"/>
                  </a:schemeClr>
                </a:solidFill>
                <a:ln>
                  <a:solidFill>
                    <a:schemeClr val="accent6">
                      <a:lumMod val="40000"/>
                      <a:lumOff val="60000"/>
                    </a:schemeClr>
                  </a:solidFill>
                </a:ln>
                <a:effectLst/>
              </c:spPr>
            </c:marker>
            <c:bubble3D val="0"/>
            <c:spPr>
              <a:ln w="31750" cap="rnd">
                <a:solidFill>
                  <a:schemeClr val="accent6">
                    <a:lumMod val="40000"/>
                    <a:lumOff val="60000"/>
                  </a:schemeClr>
                </a:solidFill>
                <a:round/>
              </a:ln>
              <a:effectLst/>
            </c:spPr>
            <c:extLst>
              <c:ext xmlns:c16="http://schemas.microsoft.com/office/drawing/2014/chart" uri="{C3380CC4-5D6E-409C-BE32-E72D297353CC}">
                <c16:uniqueId val="{00000009-CEDE-46C2-B354-22C955A7107D}"/>
              </c:ext>
            </c:extLst>
          </c:dPt>
          <c:dLbls>
            <c:dLbl>
              <c:idx val="0"/>
              <c:layout>
                <c:manualLayout>
                  <c:x val="-0.10358762886597939"/>
                  <c:y val="-4.62962962962963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EDE-46C2-B354-22C955A7107D}"/>
                </c:ext>
              </c:extLst>
            </c:dLbl>
            <c:dLbl>
              <c:idx val="1"/>
              <c:layout>
                <c:manualLayout>
                  <c:x val="-0.11733333333333333"/>
                  <c:y val="6.94444444444444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EDE-46C2-B354-22C955A7107D}"/>
                </c:ext>
              </c:extLst>
            </c:dLbl>
            <c:dLbl>
              <c:idx val="2"/>
              <c:layout>
                <c:manualLayout>
                  <c:x val="-8.709278350515462E-2"/>
                  <c:y val="-7.87037037037037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EDE-46C2-B354-22C955A7107D}"/>
                </c:ext>
              </c:extLst>
            </c:dLbl>
            <c:dLbl>
              <c:idx val="3"/>
              <c:layout>
                <c:manualLayout>
                  <c:x val="-9.5340206185567059E-2"/>
                  <c:y val="8.79629629629629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EDE-46C2-B354-22C955A7107D}"/>
                </c:ext>
              </c:extLst>
            </c:dLbl>
            <c:dLbl>
              <c:idx val="4"/>
              <c:layout>
                <c:manualLayout>
                  <c:x val="-2.9360824742268043E-2"/>
                  <c:y val="0.129629629629629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EDE-46C2-B354-22C955A7107D}"/>
                </c:ext>
              </c:extLst>
            </c:dLbl>
            <c:dLbl>
              <c:idx val="5"/>
              <c:layout>
                <c:manualLayout>
                  <c:x val="-8.7092783505154633E-2"/>
                  <c:y val="-6.48148148148148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EDE-46C2-B354-22C955A7107D}"/>
                </c:ext>
              </c:extLst>
            </c:dLbl>
            <c:dLbl>
              <c:idx val="6"/>
              <c:layout>
                <c:manualLayout>
                  <c:x val="-7.6096219931271483E-2"/>
                  <c:y val="8.79629629629629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EDE-46C2-B354-22C955A7107D}"/>
                </c:ext>
              </c:extLst>
            </c:dLbl>
            <c:dLbl>
              <c:idx val="7"/>
              <c:layout>
                <c:manualLayout>
                  <c:x val="-5.6852233676976047E-2"/>
                  <c:y val="-7.87037037037037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EDE-46C2-B354-22C955A7107D}"/>
                </c:ext>
              </c:extLst>
            </c:dLbl>
            <c:dLbl>
              <c:idx val="8"/>
              <c:layout>
                <c:manualLayout>
                  <c:x val="1.1876288659793814E-2"/>
                  <c:y val="-6.48148148148148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EDE-46C2-B354-22C955A7107D}"/>
                </c:ext>
              </c:extLst>
            </c:dLbl>
            <c:dLbl>
              <c:idx val="9"/>
              <c:layout>
                <c:manualLayout>
                  <c:x val="-2.6611683848797252E-2"/>
                  <c:y val="-0.1018518518518518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EDE-46C2-B354-22C955A7107D}"/>
                </c:ext>
              </c:extLst>
            </c:dLbl>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40000"/>
                          <a:lumOff val="60000"/>
                        </a:schemeClr>
                      </a:solidFill>
                    </a:ln>
                    <a:effectLst/>
                  </c:spPr>
                </c15:leaderLines>
              </c:ext>
            </c:extLst>
          </c:dLbls>
          <c:cat>
            <c:strRef>
              <c:f>Sheet1!$K$4:$K$14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Sheet1!$L$4:$L$14</c:f>
              <c:numCache>
                <c:formatCode>General</c:formatCode>
                <c:ptCount val="10"/>
                <c:pt idx="0">
                  <c:v>475</c:v>
                </c:pt>
                <c:pt idx="1">
                  <c:v>401</c:v>
                </c:pt>
                <c:pt idx="2">
                  <c:v>474</c:v>
                </c:pt>
                <c:pt idx="3">
                  <c:v>427</c:v>
                </c:pt>
                <c:pt idx="4">
                  <c:v>439</c:v>
                </c:pt>
                <c:pt idx="5">
                  <c:v>579</c:v>
                </c:pt>
                <c:pt idx="6">
                  <c:v>479</c:v>
                </c:pt>
                <c:pt idx="7">
                  <c:v>653</c:v>
                </c:pt>
                <c:pt idx="8">
                  <c:v>557</c:v>
                </c:pt>
                <c:pt idx="9">
                  <c:v>221</c:v>
                </c:pt>
              </c:numCache>
            </c:numRef>
          </c:val>
          <c:smooth val="0"/>
          <c:extLst>
            <c:ext xmlns:c16="http://schemas.microsoft.com/office/drawing/2014/chart" uri="{C3380CC4-5D6E-409C-BE32-E72D297353CC}">
              <c16:uniqueId val="{0000000A-CEDE-46C2-B354-22C955A7107D}"/>
            </c:ext>
          </c:extLst>
        </c:ser>
        <c:dLbls>
          <c:dLblPos val="ctr"/>
          <c:showLegendKey val="0"/>
          <c:showVal val="1"/>
          <c:showCatName val="0"/>
          <c:showSerName val="0"/>
          <c:showPercent val="0"/>
          <c:showBubbleSize val="0"/>
        </c:dLbls>
        <c:marker val="1"/>
        <c:smooth val="0"/>
        <c:axId val="1605452368"/>
        <c:axId val="1605452848"/>
      </c:lineChart>
      <c:catAx>
        <c:axId val="16054523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05452848"/>
        <c:crosses val="autoZero"/>
        <c:auto val="1"/>
        <c:lblAlgn val="ctr"/>
        <c:lblOffset val="100"/>
        <c:noMultiLvlLbl val="0"/>
      </c:catAx>
      <c:valAx>
        <c:axId val="1605452848"/>
        <c:scaling>
          <c:orientation val="minMax"/>
        </c:scaling>
        <c:delete val="1"/>
        <c:axPos val="l"/>
        <c:numFmt formatCode="General" sourceLinked="1"/>
        <c:majorTickMark val="none"/>
        <c:minorTickMark val="none"/>
        <c:tickLblPos val="nextTo"/>
        <c:crossAx val="160545236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Dataset.xlsx]Sheet1!PivotTable1</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noFill/>
          </a:ln>
          <a:effectLst>
            <a:outerShdw blurRad="254000" sx="102000" sy="102000" algn="ctr" rotWithShape="0">
              <a:prstClr val="black">
                <a:alpha val="20000"/>
              </a:prstClr>
            </a:outerShdw>
          </a:effectLst>
        </c:spPr>
        <c:dLbl>
          <c:idx val="0"/>
          <c:layout>
            <c:manualLayout>
              <c:x val="0.20277777777777778"/>
              <c:y val="-0.10272868000723959"/>
            </c:manualLayout>
          </c:layout>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0.18611111111111114"/>
              <c:y val="-8.9887595006334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50000"/>
              <a:lumOff val="50000"/>
            </a:schemeClr>
          </a:solidFill>
          <a:ln>
            <a:noFill/>
          </a:ln>
          <a:effectLst>
            <a:outerShdw blurRad="254000" sx="102000" sy="102000" algn="ctr" rotWithShape="0">
              <a:prstClr val="black">
                <a:alpha val="20000"/>
              </a:prstClr>
            </a:outerShdw>
          </a:effectLst>
        </c:spPr>
        <c:dLbl>
          <c:idx val="0"/>
          <c:layout>
            <c:manualLayout>
              <c:x val="0.17499999999999999"/>
              <c:y val="5.9925063337556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40000"/>
              <a:lumOff val="60000"/>
            </a:schemeClr>
          </a:solidFill>
          <a:ln>
            <a:noFill/>
          </a:ln>
          <a:effectLst>
            <a:outerShdw blurRad="254000" sx="102000" sy="102000" algn="ctr" rotWithShape="0">
              <a:prstClr val="black">
                <a:alpha val="20000"/>
              </a:prstClr>
            </a:outerShdw>
          </a:effectLst>
        </c:spPr>
        <c:dLbl>
          <c:idx val="0"/>
          <c:layout>
            <c:manualLayout>
              <c:x val="-0.18611111111111112"/>
              <c:y val="6.420542500452464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40000"/>
              <a:lumOff val="60000"/>
            </a:schemeClr>
          </a:solidFill>
          <a:ln>
            <a:noFill/>
          </a:ln>
          <a:effectLst>
            <a:outerShdw blurRad="254000" sx="102000" sy="102000" algn="ctr" rotWithShape="0">
              <a:prstClr val="black">
                <a:alpha val="20000"/>
              </a:prstClr>
            </a:outerShdw>
          </a:effectLst>
        </c:spPr>
        <c:dLbl>
          <c:idx val="0"/>
          <c:layout>
            <c:manualLayout>
              <c:x val="0.20277777777777778"/>
              <c:y val="-0.10272868000723959"/>
            </c:manualLayout>
          </c:layout>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lumMod val="50000"/>
              <a:lumOff val="50000"/>
            </a:schemeClr>
          </a:solidFill>
          <a:ln>
            <a:noFill/>
          </a:ln>
          <a:effectLst>
            <a:outerShdw blurRad="254000" sx="102000" sy="102000" algn="ctr" rotWithShape="0">
              <a:prstClr val="black">
                <a:alpha val="20000"/>
              </a:prstClr>
            </a:outerShdw>
          </a:effectLst>
        </c:spPr>
        <c:dLbl>
          <c:idx val="0"/>
          <c:layout>
            <c:manualLayout>
              <c:x val="0.17499999999999999"/>
              <c:y val="5.9925063337556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40000"/>
              <a:lumOff val="60000"/>
            </a:schemeClr>
          </a:solidFill>
          <a:ln>
            <a:noFill/>
          </a:ln>
          <a:effectLst>
            <a:outerShdw blurRad="254000" sx="102000" sy="102000" algn="ctr" rotWithShape="0">
              <a:prstClr val="black">
                <a:alpha val="20000"/>
              </a:prstClr>
            </a:outerShdw>
          </a:effectLst>
        </c:spPr>
        <c:dLbl>
          <c:idx val="0"/>
          <c:layout>
            <c:manualLayout>
              <c:x val="-0.18611111111111112"/>
              <c:y val="6.420542500452464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0.18611111111111114"/>
              <c:y val="-8.9887595006334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40000"/>
              <a:lumOff val="60000"/>
            </a:schemeClr>
          </a:solidFill>
          <a:ln>
            <a:noFill/>
          </a:ln>
          <a:effectLst>
            <a:outerShdw blurRad="254000" sx="102000" sy="102000" algn="ctr" rotWithShape="0">
              <a:prstClr val="black">
                <a:alpha val="20000"/>
              </a:prstClr>
            </a:outerShdw>
          </a:effectLst>
        </c:spPr>
        <c:dLbl>
          <c:idx val="0"/>
          <c:layout>
            <c:manualLayout>
              <c:x val="0.20277777777777778"/>
              <c:y val="-0.10272868000723959"/>
            </c:manualLayout>
          </c:layout>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lumMod val="50000"/>
              <a:lumOff val="50000"/>
            </a:schemeClr>
          </a:solidFill>
          <a:ln>
            <a:noFill/>
          </a:ln>
          <a:effectLst>
            <a:outerShdw blurRad="254000" sx="102000" sy="102000" algn="ctr" rotWithShape="0">
              <a:prstClr val="black">
                <a:alpha val="20000"/>
              </a:prstClr>
            </a:outerShdw>
          </a:effectLst>
        </c:spPr>
        <c:dLbl>
          <c:idx val="0"/>
          <c:layout>
            <c:manualLayout>
              <c:x val="0.17499999999999999"/>
              <c:y val="5.9925063337556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40000"/>
              <a:lumOff val="60000"/>
            </a:schemeClr>
          </a:solidFill>
          <a:ln>
            <a:noFill/>
          </a:ln>
          <a:effectLst>
            <a:outerShdw blurRad="254000" sx="102000" sy="102000" algn="ctr" rotWithShape="0">
              <a:prstClr val="black">
                <a:alpha val="20000"/>
              </a:prstClr>
            </a:outerShdw>
          </a:effectLst>
        </c:spPr>
        <c:dLbl>
          <c:idx val="0"/>
          <c:layout>
            <c:manualLayout>
              <c:x val="-0.18611111111111112"/>
              <c:y val="6.420542500452464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0.18611111111111114"/>
              <c:y val="-8.9887595006334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Sheet1!$B$3</c:f>
              <c:strCache>
                <c:ptCount val="1"/>
                <c:pt idx="0">
                  <c:v>Total</c:v>
                </c:pt>
              </c:strCache>
            </c:strRef>
          </c:tx>
          <c:dPt>
            <c:idx val="0"/>
            <c:bubble3D val="0"/>
            <c:spPr>
              <a:solidFill>
                <a:schemeClr val="accent6">
                  <a:lumMod val="40000"/>
                  <a:lumOff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361-4ACA-9DE8-F96DDF521D9E}"/>
              </c:ext>
            </c:extLst>
          </c:dPt>
          <c:dPt>
            <c:idx val="1"/>
            <c:bubble3D val="0"/>
            <c:spPr>
              <a:solidFill>
                <a:schemeClr val="tx1">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361-4ACA-9DE8-F96DDF521D9E}"/>
              </c:ext>
            </c:extLst>
          </c:dPt>
          <c:dPt>
            <c:idx val="2"/>
            <c:bubble3D val="0"/>
            <c:spPr>
              <a:solidFill>
                <a:schemeClr val="accent4">
                  <a:lumMod val="40000"/>
                  <a:lumOff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361-4ACA-9DE8-F96DDF521D9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361-4ACA-9DE8-F96DDF521D9E}"/>
              </c:ext>
            </c:extLst>
          </c:dPt>
          <c:dLbls>
            <c:dLbl>
              <c:idx val="0"/>
              <c:layout>
                <c:manualLayout>
                  <c:x val="0.20277777777777778"/>
                  <c:y val="-0.10272868000723959"/>
                </c:manualLayout>
              </c:layout>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361-4ACA-9DE8-F96DDF521D9E}"/>
                </c:ext>
              </c:extLst>
            </c:dLbl>
            <c:dLbl>
              <c:idx val="1"/>
              <c:layout>
                <c:manualLayout>
                  <c:x val="0.17499999999999999"/>
                  <c:y val="5.992506333755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361-4ACA-9DE8-F96DDF521D9E}"/>
                </c:ext>
              </c:extLst>
            </c:dLbl>
            <c:dLbl>
              <c:idx val="2"/>
              <c:layout>
                <c:manualLayout>
                  <c:x val="-0.18611111111111112"/>
                  <c:y val="6.42054250045246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361-4ACA-9DE8-F96DDF521D9E}"/>
                </c:ext>
              </c:extLst>
            </c:dLbl>
            <c:dLbl>
              <c:idx val="3"/>
              <c:layout>
                <c:manualLayout>
                  <c:x val="-0.18611111111111114"/>
                  <c:y val="-8.988759500633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361-4ACA-9DE8-F96DDF521D9E}"/>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Sheet1!$A$4:$A$8</c:f>
              <c:strCache>
                <c:ptCount val="4"/>
                <c:pt idx="0">
                  <c:v>East</c:v>
                </c:pt>
                <c:pt idx="1">
                  <c:v>North</c:v>
                </c:pt>
                <c:pt idx="2">
                  <c:v>South</c:v>
                </c:pt>
                <c:pt idx="3">
                  <c:v>West</c:v>
                </c:pt>
              </c:strCache>
            </c:strRef>
          </c:cat>
          <c:val>
            <c:numRef>
              <c:f>Sheet1!$B$4:$B$8</c:f>
              <c:numCache>
                <c:formatCode>_ "Rs."\ * #,##0_ ;_ "Rs."\ * \-#,##0_ ;_ "Rs."\ * "-"_ ;_ @_ </c:formatCode>
                <c:ptCount val="4"/>
                <c:pt idx="0">
                  <c:v>3534400</c:v>
                </c:pt>
                <c:pt idx="1">
                  <c:v>2661400</c:v>
                </c:pt>
                <c:pt idx="2">
                  <c:v>2870600</c:v>
                </c:pt>
                <c:pt idx="3">
                  <c:v>3878100</c:v>
                </c:pt>
              </c:numCache>
            </c:numRef>
          </c:val>
          <c:extLst>
            <c:ext xmlns:c16="http://schemas.microsoft.com/office/drawing/2014/chart" uri="{C3380CC4-5D6E-409C-BE32-E72D297353CC}">
              <c16:uniqueId val="{00000008-B361-4ACA-9DE8-F96DDF521D9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Dataset.xlsx]Sheet1!PivotTable4</c:name>
    <c:fmtId val="19"/>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pivotFmt>
      <c:pivotFmt>
        <c:idx val="2"/>
        <c:spPr>
          <a:solidFill>
            <a:schemeClr val="accent5"/>
          </a:solidFill>
          <a:ln>
            <a:noFill/>
          </a:ln>
          <a:effectLst/>
        </c:spPr>
      </c:pivotFmt>
      <c:pivotFmt>
        <c:idx val="3"/>
        <c:spPr>
          <a:solidFill>
            <a:schemeClr val="accent5"/>
          </a:solidFill>
          <a:ln>
            <a:noFill/>
          </a:ln>
          <a:effectLst/>
        </c:spPr>
      </c:pivotFmt>
      <c:pivotFmt>
        <c:idx val="4"/>
        <c:spPr>
          <a:solidFill>
            <a:schemeClr val="accent5"/>
          </a:solidFill>
          <a:ln>
            <a:noFill/>
          </a:ln>
          <a:effectLst/>
        </c:spPr>
      </c:pivotFmt>
      <c:pivotFmt>
        <c:idx val="5"/>
        <c:spPr>
          <a:solidFill>
            <a:schemeClr val="accent5"/>
          </a:solidFill>
          <a:ln>
            <a:noFill/>
          </a:ln>
          <a:effectLst/>
        </c:spPr>
      </c:pivotFmt>
      <c:pivotFmt>
        <c:idx val="6"/>
        <c:spPr>
          <a:solidFill>
            <a:schemeClr val="accent5"/>
          </a:solidFill>
          <a:ln>
            <a:noFill/>
          </a:ln>
          <a:effectLst/>
        </c:spPr>
        <c:dLbl>
          <c:idx val="0"/>
          <c:layout>
            <c:manualLayout>
              <c:x val="0.11700680272108839"/>
              <c:y val="0"/>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Times New Roman" panose="020206030504050203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4014955273447963"/>
                  <c:h val="6.6527730964780277E-2"/>
                </c:manualLayout>
              </c15:layout>
            </c:ext>
          </c:extLst>
        </c:dLbl>
      </c:pivotFmt>
      <c:pivotFmt>
        <c:idx val="7"/>
        <c:spPr>
          <a:solidFill>
            <a:schemeClr val="accent5"/>
          </a:solidFill>
          <a:ln>
            <a:noFill/>
          </a:ln>
          <a:effectLst/>
        </c:spPr>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dLbl>
          <c:idx val="0"/>
          <c:layout>
            <c:manualLayout>
              <c:x val="0.11700680272108839"/>
              <c:y val="0"/>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Times New Roman" panose="020206030504050203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4014955273447963"/>
                  <c:h val="6.6527730964780277E-2"/>
                </c:manualLayout>
              </c15:layout>
            </c:ext>
          </c:extLst>
        </c:dLbl>
      </c:pivotFmt>
      <c:pivotFmt>
        <c:idx val="10"/>
        <c:spPr>
          <a:solidFill>
            <a:schemeClr val="accent6">
              <a:lumMod val="40000"/>
              <a:lumOff val="60000"/>
            </a:schemeClr>
          </a:solidFill>
          <a:ln>
            <a:solidFill>
              <a:schemeClr val="accent6">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40000"/>
              <a:lumOff val="60000"/>
            </a:schemeClr>
          </a:solidFill>
          <a:ln>
            <a:solidFill>
              <a:schemeClr val="accent6">
                <a:lumMod val="40000"/>
                <a:lumOff val="60000"/>
              </a:schemeClr>
            </a:solidFill>
          </a:ln>
          <a:effectLst/>
        </c:spPr>
        <c:dLbl>
          <c:idx val="0"/>
          <c:layout>
            <c:manualLayout>
              <c:x val="0.14282328604140879"/>
              <c:y val="2.886002886002886E-3"/>
            </c:manualLayout>
          </c:layout>
          <c:spPr>
            <a:solidFill>
              <a:schemeClr val="accent6">
                <a:lumMod val="40000"/>
                <a:lumOff val="60000"/>
              </a:schemeClr>
            </a:solidFill>
            <a:ln>
              <a:solidFill>
                <a:schemeClr val="accent6">
                  <a:lumMod val="40000"/>
                  <a:lumOff val="60000"/>
                </a:schemeClr>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Times New Roman" panose="020206030504050203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7355885184055866"/>
                  <c:h val="9.5387622001795236E-2"/>
                </c:manualLayout>
              </c15:layout>
            </c:ext>
          </c:extLst>
        </c:dLbl>
      </c:pivotFmt>
    </c:pivotFmts>
    <c:plotArea>
      <c:layout>
        <c:manualLayout>
          <c:layoutTarget val="inner"/>
          <c:xMode val="edge"/>
          <c:yMode val="edge"/>
          <c:x val="0.207517274626386"/>
          <c:y val="3.2463774043368532E-2"/>
          <c:w val="0.74531714785651793"/>
          <c:h val="0.89797099586369888"/>
        </c:manualLayout>
      </c:layout>
      <c:barChart>
        <c:barDir val="bar"/>
        <c:grouping val="stacked"/>
        <c:varyColors val="0"/>
        <c:ser>
          <c:idx val="0"/>
          <c:order val="0"/>
          <c:tx>
            <c:strRef>
              <c:f>Sheet1!$E$3</c:f>
              <c:strCache>
                <c:ptCount val="1"/>
                <c:pt idx="0">
                  <c:v>Total</c:v>
                </c:pt>
              </c:strCache>
            </c:strRef>
          </c:tx>
          <c:spPr>
            <a:solidFill>
              <a:schemeClr val="accent6">
                <a:lumMod val="40000"/>
                <a:lumOff val="60000"/>
              </a:schemeClr>
            </a:solidFill>
            <a:ln>
              <a:solidFill>
                <a:schemeClr val="accent6">
                  <a:lumMod val="40000"/>
                  <a:lumOff val="60000"/>
                </a:schemeClr>
              </a:solidFill>
            </a:ln>
            <a:effectLst/>
          </c:spPr>
          <c:invertIfNegative val="0"/>
          <c:dPt>
            <c:idx val="0"/>
            <c:invertIfNegative val="0"/>
            <c:bubble3D val="0"/>
            <c:spPr>
              <a:solidFill>
                <a:schemeClr val="accent6">
                  <a:lumMod val="40000"/>
                  <a:lumOff val="60000"/>
                </a:schemeClr>
              </a:solidFill>
              <a:ln>
                <a:solidFill>
                  <a:schemeClr val="accent6">
                    <a:lumMod val="40000"/>
                    <a:lumOff val="60000"/>
                  </a:schemeClr>
                </a:solidFill>
              </a:ln>
              <a:effectLst/>
            </c:spPr>
            <c:extLst>
              <c:ext xmlns:c16="http://schemas.microsoft.com/office/drawing/2014/chart" uri="{C3380CC4-5D6E-409C-BE32-E72D297353CC}">
                <c16:uniqueId val="{00000001-B4F3-42C1-AB57-519E3A09137A}"/>
              </c:ext>
            </c:extLst>
          </c:dPt>
          <c:dLbls>
            <c:dLbl>
              <c:idx val="0"/>
              <c:layout>
                <c:manualLayout>
                  <c:x val="0.14282328604140879"/>
                  <c:y val="2.886002886002886E-3"/>
                </c:manualLayout>
              </c:layout>
              <c:spPr>
                <a:solidFill>
                  <a:schemeClr val="accent6">
                    <a:lumMod val="40000"/>
                    <a:lumOff val="60000"/>
                  </a:schemeClr>
                </a:solidFill>
                <a:ln>
                  <a:solidFill>
                    <a:schemeClr val="accent6">
                      <a:lumMod val="40000"/>
                      <a:lumOff val="60000"/>
                    </a:schemeClr>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Times New Roman" panose="020206030504050203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7355885184055866"/>
                      <c:h val="9.5387622001795236E-2"/>
                    </c:manualLayout>
                  </c15:layout>
                </c:ext>
                <c:ext xmlns:c16="http://schemas.microsoft.com/office/drawing/2014/chart" uri="{C3380CC4-5D6E-409C-BE32-E72D297353CC}">
                  <c16:uniqueId val="{00000001-B4F3-42C1-AB57-519E3A09137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Sheet1!$D$4:$D$11</c:f>
              <c:strCache>
                <c:ptCount val="7"/>
                <c:pt idx="0">
                  <c:v>Action Figure</c:v>
                </c:pt>
                <c:pt idx="1">
                  <c:v>Blender</c:v>
                </c:pt>
                <c:pt idx="2">
                  <c:v>Moisturizer</c:v>
                </c:pt>
                <c:pt idx="3">
                  <c:v>Novel</c:v>
                </c:pt>
                <c:pt idx="4">
                  <c:v>Smartphone</c:v>
                </c:pt>
                <c:pt idx="5">
                  <c:v>Sneakers</c:v>
                </c:pt>
                <c:pt idx="6">
                  <c:v>Tent</c:v>
                </c:pt>
              </c:strCache>
            </c:strRef>
          </c:cat>
          <c:val>
            <c:numRef>
              <c:f>Sheet1!$E$4:$E$11</c:f>
              <c:numCache>
                <c:formatCode>_ "Rs."\ * #,##0_ ;_ "Rs."\ * \-#,##0_ ;_ "Rs."\ * "-"_ ;_ @_ </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2-B4F3-42C1-AB57-519E3A09137A}"/>
            </c:ext>
          </c:extLst>
        </c:ser>
        <c:dLbls>
          <c:dLblPos val="ctr"/>
          <c:showLegendKey val="0"/>
          <c:showVal val="1"/>
          <c:showCatName val="0"/>
          <c:showSerName val="0"/>
          <c:showPercent val="0"/>
          <c:showBubbleSize val="0"/>
        </c:dLbls>
        <c:gapWidth val="79"/>
        <c:overlap val="100"/>
        <c:axId val="1497891440"/>
        <c:axId val="1606430768"/>
      </c:barChart>
      <c:catAx>
        <c:axId val="1497891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06430768"/>
        <c:crosses val="autoZero"/>
        <c:auto val="1"/>
        <c:lblAlgn val="ctr"/>
        <c:lblOffset val="100"/>
        <c:noMultiLvlLbl val="0"/>
      </c:catAx>
      <c:valAx>
        <c:axId val="1606430768"/>
        <c:scaling>
          <c:orientation val="minMax"/>
        </c:scaling>
        <c:delete val="1"/>
        <c:axPos val="b"/>
        <c:numFmt formatCode="_ &quot;Rs.&quot;\ * #,##0_ ;_ &quot;Rs.&quot;\ * \-#,##0_ ;_ &quot;Rs.&quot;\ * &quot;-&quot;_ ;_ @_ " sourceLinked="1"/>
        <c:majorTickMark val="none"/>
        <c:minorTickMark val="none"/>
        <c:tickLblPos val="nextTo"/>
        <c:crossAx val="1497891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Dataset.xlsx]Sheet1!PivotTable6</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rgbClr val="00FFFF"/>
          </a:solidFill>
          <a:ln w="9525" cap="flat" cmpd="sng" algn="ctr">
            <a:solidFill>
              <a:schemeClr val="lt1">
                <a:alpha val="50000"/>
              </a:schemeClr>
            </a:solidFill>
            <a:round/>
          </a:ln>
          <a:effectLst/>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FFFF"/>
          </a:solidFill>
          <a:ln w="9525" cap="flat" cmpd="sng" algn="ctr">
            <a:solidFill>
              <a:schemeClr val="lt1">
                <a:alpha val="50000"/>
              </a:schemeClr>
            </a:solidFill>
            <a:round/>
          </a:ln>
          <a:effectLst/>
        </c:spPr>
        <c:dLbl>
          <c:idx val="0"/>
          <c:layout>
            <c:manualLayout>
              <c:x val="-5.5555555555555558E-3"/>
              <c:y val="-9.3979456485476662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FFFF"/>
          </a:solidFill>
          <a:ln w="9525" cap="flat" cmpd="sng" algn="ctr">
            <a:solidFill>
              <a:schemeClr val="lt1">
                <a:alpha val="50000"/>
              </a:schemeClr>
            </a:solidFill>
            <a:round/>
          </a:ln>
          <a:effectLst/>
        </c:spPr>
        <c:dLbl>
          <c:idx val="0"/>
          <c:layout>
            <c:manualLayout>
              <c:x val="0.11111111111111101"/>
              <c:y val="-3.5242296182053781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FFFF"/>
          </a:solidFill>
          <a:ln w="9525" cap="flat" cmpd="sng" algn="ctr">
            <a:solidFill>
              <a:schemeClr val="lt1">
                <a:alpha val="50000"/>
              </a:schemeClr>
            </a:solidFill>
            <a:round/>
          </a:ln>
          <a:effectLst/>
        </c:spPr>
        <c:dLbl>
          <c:idx val="0"/>
          <c:layout>
            <c:manualLayout>
              <c:x val="5.5555555555555552E-2"/>
              <c:y val="-8.2232024424792077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FFFF"/>
          </a:solidFill>
          <a:ln w="9525" cap="flat" cmpd="sng" algn="ctr">
            <a:solidFill>
              <a:schemeClr val="lt1">
                <a:alpha val="50000"/>
              </a:schemeClr>
            </a:solidFill>
            <a:round/>
          </a:ln>
          <a:effectLst/>
        </c:spPr>
        <c:dLbl>
          <c:idx val="0"/>
          <c:layout>
            <c:manualLayout>
              <c:x val="8.6111111111111013E-2"/>
              <c:y val="-5.4821349616528049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FFFF"/>
          </a:solidFill>
          <a:ln w="9525" cap="flat" cmpd="sng" algn="ctr">
            <a:solidFill>
              <a:schemeClr val="lt1">
                <a:alpha val="50000"/>
              </a:schemeClr>
            </a:solidFill>
            <a:round/>
          </a:ln>
          <a:effectLst/>
        </c:spPr>
        <c:dLbl>
          <c:idx val="0"/>
          <c:layout>
            <c:manualLayout>
              <c:x val="9.1666666666666466E-2"/>
              <c:y val="-3.9158106868948609E-3"/>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FFFF"/>
          </a:solidFill>
          <a:ln w="9525" cap="flat" cmpd="sng" algn="ctr">
            <a:solidFill>
              <a:schemeClr val="lt1">
                <a:alpha val="50000"/>
              </a:schemeClr>
            </a:solidFill>
            <a:round/>
          </a:ln>
          <a:effectLst/>
        </c:spPr>
        <c:dLbl>
          <c:idx val="0"/>
          <c:layout>
            <c:manualLayout>
              <c:x val="-8.0555555555555575E-2"/>
              <c:y val="-9.397945648547669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FFFF"/>
          </a:solidFill>
          <a:ln w="9525" cap="flat" cmpd="sng" algn="ctr">
            <a:solidFill>
              <a:schemeClr val="lt1">
                <a:alpha val="50000"/>
              </a:schemeClr>
            </a:solidFill>
            <a:round/>
          </a:ln>
          <a:effectLst/>
        </c:spPr>
        <c:dLbl>
          <c:idx val="0"/>
          <c:layout>
            <c:manualLayout>
              <c:x val="-1.1111111111111113E-2"/>
              <c:y val="-7.0484592364107534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FFFF"/>
          </a:solidFill>
          <a:ln w="9525" cap="flat" cmpd="sng" algn="ctr">
            <a:solidFill>
              <a:schemeClr val="lt1">
                <a:alpha val="50000"/>
              </a:schemeClr>
            </a:solidFill>
            <a:round/>
          </a:ln>
          <a:effectLst/>
        </c:spPr>
        <c:dLbl>
          <c:idx val="0"/>
          <c:layout>
            <c:manualLayout>
              <c:x val="1.1111111111111098E-2"/>
              <c:y val="-5.8737160303422985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FFFF"/>
          </a:solidFill>
          <a:ln w="9525" cap="flat" cmpd="sng" algn="ctr">
            <a:solidFill>
              <a:schemeClr val="lt1">
                <a:alpha val="50000"/>
              </a:schemeClr>
            </a:solidFill>
            <a:round/>
          </a:ln>
          <a:effectLst/>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FFFF"/>
          </a:solidFill>
          <a:ln w="9525" cap="flat" cmpd="sng" algn="ctr">
            <a:solidFill>
              <a:schemeClr val="lt1">
                <a:alpha val="50000"/>
              </a:schemeClr>
            </a:solidFill>
            <a:round/>
          </a:ln>
          <a:effectLst/>
        </c:spPr>
        <c:dLbl>
          <c:idx val="0"/>
          <c:layout>
            <c:manualLayout>
              <c:x val="-1.1111111111111113E-2"/>
              <c:y val="-7.0484592364107534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FFFF"/>
          </a:solidFill>
          <a:ln w="9525" cap="flat" cmpd="sng" algn="ctr">
            <a:solidFill>
              <a:schemeClr val="lt1">
                <a:alpha val="50000"/>
              </a:schemeClr>
            </a:solidFill>
            <a:round/>
          </a:ln>
          <a:effectLst/>
        </c:spPr>
        <c:dLbl>
          <c:idx val="0"/>
          <c:layout>
            <c:manualLayout>
              <c:x val="1.1111111111111098E-2"/>
              <c:y val="-5.8737160303422985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FFFF"/>
          </a:solidFill>
          <a:ln w="9525" cap="flat" cmpd="sng" algn="ctr">
            <a:solidFill>
              <a:schemeClr val="lt1">
                <a:alpha val="50000"/>
              </a:schemeClr>
            </a:solidFill>
            <a:round/>
          </a:ln>
          <a:effectLst/>
        </c:spPr>
        <c:dLbl>
          <c:idx val="0"/>
          <c:layout>
            <c:manualLayout>
              <c:x val="-8.0555555555555575E-2"/>
              <c:y val="-9.397945648547669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FFFF"/>
          </a:solidFill>
          <a:ln w="9525" cap="flat" cmpd="sng" algn="ctr">
            <a:solidFill>
              <a:schemeClr val="lt1">
                <a:alpha val="50000"/>
              </a:schemeClr>
            </a:solidFill>
            <a:round/>
          </a:ln>
          <a:effectLst/>
        </c:spPr>
        <c:dLbl>
          <c:idx val="0"/>
          <c:layout>
            <c:manualLayout>
              <c:x val="-5.5555555555555558E-3"/>
              <c:y val="-9.3979456485476662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FFFF"/>
          </a:solidFill>
          <a:ln w="9525" cap="flat" cmpd="sng" algn="ctr">
            <a:solidFill>
              <a:schemeClr val="lt1">
                <a:alpha val="50000"/>
              </a:schemeClr>
            </a:solidFill>
            <a:round/>
          </a:ln>
          <a:effectLst/>
        </c:spPr>
        <c:dLbl>
          <c:idx val="0"/>
          <c:layout>
            <c:manualLayout>
              <c:x val="-5.5555555555555558E-3"/>
              <c:y val="-9.3979456485476662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FFFF"/>
          </a:solidFill>
          <a:ln w="9525" cap="flat" cmpd="sng" algn="ctr">
            <a:solidFill>
              <a:schemeClr val="lt1">
                <a:alpha val="50000"/>
              </a:schemeClr>
            </a:solidFill>
            <a:round/>
          </a:ln>
          <a:effectLst/>
        </c:spPr>
        <c:dLbl>
          <c:idx val="0"/>
          <c:layout>
            <c:manualLayout>
              <c:x val="0.11111111111111101"/>
              <c:y val="-3.5242296182053781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FFFF"/>
          </a:solidFill>
          <a:ln w="9525" cap="flat" cmpd="sng" algn="ctr">
            <a:solidFill>
              <a:schemeClr val="lt1">
                <a:alpha val="50000"/>
              </a:schemeClr>
            </a:solidFill>
            <a:round/>
          </a:ln>
          <a:effectLst/>
        </c:spPr>
        <c:dLbl>
          <c:idx val="0"/>
          <c:layout>
            <c:manualLayout>
              <c:x val="5.5555555555555552E-2"/>
              <c:y val="-8.2232024424792077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FFFF"/>
          </a:solidFill>
          <a:ln w="9525" cap="flat" cmpd="sng" algn="ctr">
            <a:solidFill>
              <a:schemeClr val="lt1">
                <a:alpha val="50000"/>
              </a:schemeClr>
            </a:solidFill>
            <a:round/>
          </a:ln>
          <a:effectLst/>
        </c:spPr>
        <c:dLbl>
          <c:idx val="0"/>
          <c:layout>
            <c:manualLayout>
              <c:x val="8.6111111111111013E-2"/>
              <c:y val="-5.4821349616528049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FFFF"/>
          </a:solidFill>
          <a:ln w="9525" cap="flat" cmpd="sng" algn="ctr">
            <a:solidFill>
              <a:schemeClr val="lt1">
                <a:alpha val="50000"/>
              </a:schemeClr>
            </a:solidFill>
            <a:round/>
          </a:ln>
          <a:effectLst/>
        </c:spPr>
        <c:dLbl>
          <c:idx val="0"/>
          <c:layout>
            <c:manualLayout>
              <c:x val="9.1666666666666466E-2"/>
              <c:y val="-3.9158106868948609E-3"/>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40000"/>
              <a:lumOff val="60000"/>
            </a:schemeClr>
          </a:solidFill>
          <a:ln w="9525" cap="flat" cmpd="sng" algn="ctr">
            <a:solidFill>
              <a:schemeClr val="accent6">
                <a:lumMod val="40000"/>
                <a:lumOff val="60000"/>
              </a:schemeClr>
            </a:solidFill>
            <a:round/>
          </a:ln>
          <a:effectLst/>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40000"/>
              <a:lumOff val="60000"/>
            </a:schemeClr>
          </a:solidFill>
          <a:ln w="9525" cap="flat" cmpd="sng" algn="ctr">
            <a:solidFill>
              <a:schemeClr val="accent6">
                <a:lumMod val="40000"/>
                <a:lumOff val="60000"/>
              </a:schemeClr>
            </a:solidFill>
            <a:round/>
          </a:ln>
          <a:effectLst/>
        </c:spPr>
        <c:dLbl>
          <c:idx val="0"/>
          <c:layout>
            <c:manualLayout>
              <c:x val="-1.1111111111111113E-2"/>
              <c:y val="-7.0484592364107534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40000"/>
              <a:lumOff val="60000"/>
            </a:schemeClr>
          </a:solidFill>
          <a:ln w="9525" cap="flat" cmpd="sng" algn="ctr">
            <a:solidFill>
              <a:schemeClr val="accent6">
                <a:lumMod val="40000"/>
                <a:lumOff val="60000"/>
              </a:schemeClr>
            </a:solidFill>
            <a:round/>
          </a:ln>
          <a:effectLst/>
        </c:spPr>
        <c:dLbl>
          <c:idx val="0"/>
          <c:layout>
            <c:manualLayout>
              <c:x val="1.1111111111111098E-2"/>
              <c:y val="-5.8737160303422985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40000"/>
              <a:lumOff val="60000"/>
            </a:schemeClr>
          </a:solidFill>
          <a:ln w="9525" cap="flat" cmpd="sng" algn="ctr">
            <a:solidFill>
              <a:schemeClr val="accent6">
                <a:lumMod val="40000"/>
                <a:lumOff val="60000"/>
              </a:schemeClr>
            </a:solidFill>
            <a:round/>
          </a:ln>
          <a:effectLst/>
        </c:spPr>
        <c:dLbl>
          <c:idx val="0"/>
          <c:layout>
            <c:manualLayout>
              <c:x val="-8.0555555555555575E-2"/>
              <c:y val="-9.397945648547669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40000"/>
              <a:lumOff val="60000"/>
            </a:schemeClr>
          </a:solidFill>
          <a:ln w="9525" cap="flat" cmpd="sng" algn="ctr">
            <a:solidFill>
              <a:schemeClr val="accent6">
                <a:lumMod val="40000"/>
                <a:lumOff val="60000"/>
              </a:schemeClr>
            </a:solidFill>
            <a:round/>
          </a:ln>
          <a:effectLst/>
        </c:spPr>
        <c:dLbl>
          <c:idx val="0"/>
          <c:layout>
            <c:manualLayout>
              <c:x val="-5.5555555555555558E-3"/>
              <c:y val="-9.3979456485476662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40000"/>
              <a:lumOff val="60000"/>
            </a:schemeClr>
          </a:solidFill>
          <a:ln w="9525" cap="flat" cmpd="sng" algn="ctr">
            <a:solidFill>
              <a:schemeClr val="accent6">
                <a:lumMod val="40000"/>
                <a:lumOff val="60000"/>
              </a:schemeClr>
            </a:solidFill>
            <a:round/>
          </a:ln>
          <a:effectLst/>
        </c:spPr>
        <c:dLbl>
          <c:idx val="0"/>
          <c:layout>
            <c:manualLayout>
              <c:x val="-5.5555555555555558E-3"/>
              <c:y val="-9.3979456485476662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40000"/>
              <a:lumOff val="60000"/>
            </a:schemeClr>
          </a:solidFill>
          <a:ln w="9525" cap="flat" cmpd="sng" algn="ctr">
            <a:solidFill>
              <a:schemeClr val="accent6">
                <a:lumMod val="40000"/>
                <a:lumOff val="60000"/>
              </a:schemeClr>
            </a:solidFill>
            <a:round/>
          </a:ln>
          <a:effectLst/>
        </c:spPr>
        <c:dLbl>
          <c:idx val="0"/>
          <c:layout>
            <c:manualLayout>
              <c:x val="0.11111111111111101"/>
              <c:y val="-3.5242296182053781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lumMod val="40000"/>
              <a:lumOff val="60000"/>
            </a:schemeClr>
          </a:solidFill>
          <a:ln w="9525" cap="flat" cmpd="sng" algn="ctr">
            <a:solidFill>
              <a:schemeClr val="accent6">
                <a:lumMod val="40000"/>
                <a:lumOff val="60000"/>
              </a:schemeClr>
            </a:solidFill>
            <a:round/>
          </a:ln>
          <a:effectLst/>
        </c:spPr>
        <c:dLbl>
          <c:idx val="0"/>
          <c:layout>
            <c:manualLayout>
              <c:x val="5.5555555555555552E-2"/>
              <c:y val="-8.2232024424792077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40000"/>
              <a:lumOff val="60000"/>
            </a:schemeClr>
          </a:solidFill>
          <a:ln w="9525" cap="flat" cmpd="sng" algn="ctr">
            <a:solidFill>
              <a:schemeClr val="accent6">
                <a:lumMod val="40000"/>
                <a:lumOff val="60000"/>
              </a:schemeClr>
            </a:solidFill>
            <a:round/>
          </a:ln>
          <a:effectLst/>
        </c:spPr>
        <c:dLbl>
          <c:idx val="0"/>
          <c:layout>
            <c:manualLayout>
              <c:x val="8.6111111111111013E-2"/>
              <c:y val="-5.4821349616528049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40000"/>
              <a:lumOff val="60000"/>
            </a:schemeClr>
          </a:solidFill>
          <a:ln w="9525" cap="flat" cmpd="sng" algn="ctr">
            <a:solidFill>
              <a:schemeClr val="accent6">
                <a:lumMod val="40000"/>
                <a:lumOff val="60000"/>
              </a:schemeClr>
            </a:solidFill>
            <a:round/>
          </a:ln>
          <a:effectLst/>
        </c:spPr>
        <c:dLbl>
          <c:idx val="0"/>
          <c:layout>
            <c:manualLayout>
              <c:x val="9.1666666666666466E-2"/>
              <c:y val="-3.9158106868948609E-3"/>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Sheet1!$I$2</c:f>
              <c:strCache>
                <c:ptCount val="1"/>
                <c:pt idx="0">
                  <c:v>Total</c:v>
                </c:pt>
              </c:strCache>
            </c:strRef>
          </c:tx>
          <c:spPr>
            <a:solidFill>
              <a:schemeClr val="accent6">
                <a:lumMod val="40000"/>
                <a:lumOff val="60000"/>
              </a:schemeClr>
            </a:solidFill>
            <a:ln w="9525" cap="flat" cmpd="sng" algn="ctr">
              <a:solidFill>
                <a:schemeClr val="accent6">
                  <a:lumMod val="40000"/>
                  <a:lumOff val="60000"/>
                </a:schemeClr>
              </a:solidFill>
              <a:round/>
            </a:ln>
            <a:effectLst/>
          </c:spPr>
          <c:invertIfNegative val="0"/>
          <c:dPt>
            <c:idx val="0"/>
            <c:invertIfNegative val="0"/>
            <c:bubble3D val="0"/>
            <c:spPr>
              <a:solidFill>
                <a:schemeClr val="accent6">
                  <a:lumMod val="40000"/>
                  <a:lumOff val="60000"/>
                </a:schemeClr>
              </a:solidFill>
              <a:ln w="9525" cap="flat" cmpd="sng" algn="ctr">
                <a:solidFill>
                  <a:schemeClr val="accent6">
                    <a:lumMod val="40000"/>
                    <a:lumOff val="60000"/>
                  </a:schemeClr>
                </a:solidFill>
                <a:round/>
              </a:ln>
              <a:effectLst/>
            </c:spPr>
            <c:extLst>
              <c:ext xmlns:c16="http://schemas.microsoft.com/office/drawing/2014/chart" uri="{C3380CC4-5D6E-409C-BE32-E72D297353CC}">
                <c16:uniqueId val="{00000001-CDCA-4A54-8B66-6A89F08FA929}"/>
              </c:ext>
            </c:extLst>
          </c:dPt>
          <c:dPt>
            <c:idx val="1"/>
            <c:invertIfNegative val="0"/>
            <c:bubble3D val="0"/>
            <c:spPr>
              <a:solidFill>
                <a:schemeClr val="accent6">
                  <a:lumMod val="40000"/>
                  <a:lumOff val="60000"/>
                </a:schemeClr>
              </a:solidFill>
              <a:ln w="9525" cap="flat" cmpd="sng" algn="ctr">
                <a:solidFill>
                  <a:schemeClr val="accent6">
                    <a:lumMod val="40000"/>
                    <a:lumOff val="60000"/>
                  </a:schemeClr>
                </a:solidFill>
                <a:round/>
              </a:ln>
              <a:effectLst/>
            </c:spPr>
            <c:extLst>
              <c:ext xmlns:c16="http://schemas.microsoft.com/office/drawing/2014/chart" uri="{C3380CC4-5D6E-409C-BE32-E72D297353CC}">
                <c16:uniqueId val="{00000003-CDCA-4A54-8B66-6A89F08FA929}"/>
              </c:ext>
            </c:extLst>
          </c:dPt>
          <c:dPt>
            <c:idx val="2"/>
            <c:invertIfNegative val="0"/>
            <c:bubble3D val="0"/>
            <c:spPr>
              <a:solidFill>
                <a:schemeClr val="accent6">
                  <a:lumMod val="40000"/>
                  <a:lumOff val="60000"/>
                </a:schemeClr>
              </a:solidFill>
              <a:ln w="9525" cap="flat" cmpd="sng" algn="ctr">
                <a:solidFill>
                  <a:schemeClr val="accent6">
                    <a:lumMod val="40000"/>
                    <a:lumOff val="60000"/>
                  </a:schemeClr>
                </a:solidFill>
                <a:round/>
              </a:ln>
              <a:effectLst/>
            </c:spPr>
            <c:extLst>
              <c:ext xmlns:c16="http://schemas.microsoft.com/office/drawing/2014/chart" uri="{C3380CC4-5D6E-409C-BE32-E72D297353CC}">
                <c16:uniqueId val="{00000005-CDCA-4A54-8B66-6A89F08FA929}"/>
              </c:ext>
            </c:extLst>
          </c:dPt>
          <c:dPt>
            <c:idx val="3"/>
            <c:invertIfNegative val="0"/>
            <c:bubble3D val="0"/>
            <c:spPr>
              <a:solidFill>
                <a:schemeClr val="accent6">
                  <a:lumMod val="40000"/>
                  <a:lumOff val="60000"/>
                </a:schemeClr>
              </a:solidFill>
              <a:ln w="9525" cap="flat" cmpd="sng" algn="ctr">
                <a:solidFill>
                  <a:schemeClr val="accent6">
                    <a:lumMod val="40000"/>
                    <a:lumOff val="60000"/>
                  </a:schemeClr>
                </a:solidFill>
                <a:round/>
              </a:ln>
              <a:effectLst/>
            </c:spPr>
            <c:extLst>
              <c:ext xmlns:c16="http://schemas.microsoft.com/office/drawing/2014/chart" uri="{C3380CC4-5D6E-409C-BE32-E72D297353CC}">
                <c16:uniqueId val="{00000007-CDCA-4A54-8B66-6A89F08FA929}"/>
              </c:ext>
            </c:extLst>
          </c:dPt>
          <c:dPt>
            <c:idx val="4"/>
            <c:invertIfNegative val="0"/>
            <c:bubble3D val="0"/>
            <c:spPr>
              <a:solidFill>
                <a:schemeClr val="accent6">
                  <a:lumMod val="40000"/>
                  <a:lumOff val="60000"/>
                </a:schemeClr>
              </a:solidFill>
              <a:ln w="9525" cap="flat" cmpd="sng" algn="ctr">
                <a:solidFill>
                  <a:schemeClr val="accent6">
                    <a:lumMod val="40000"/>
                    <a:lumOff val="60000"/>
                  </a:schemeClr>
                </a:solidFill>
                <a:round/>
              </a:ln>
              <a:effectLst/>
            </c:spPr>
            <c:extLst>
              <c:ext xmlns:c16="http://schemas.microsoft.com/office/drawing/2014/chart" uri="{C3380CC4-5D6E-409C-BE32-E72D297353CC}">
                <c16:uniqueId val="{00000009-CDCA-4A54-8B66-6A89F08FA929}"/>
              </c:ext>
            </c:extLst>
          </c:dPt>
          <c:dPt>
            <c:idx val="6"/>
            <c:invertIfNegative val="0"/>
            <c:bubble3D val="0"/>
            <c:spPr>
              <a:solidFill>
                <a:schemeClr val="accent6">
                  <a:lumMod val="40000"/>
                  <a:lumOff val="60000"/>
                </a:schemeClr>
              </a:solidFill>
              <a:ln w="9525" cap="flat" cmpd="sng" algn="ctr">
                <a:solidFill>
                  <a:schemeClr val="accent6">
                    <a:lumMod val="40000"/>
                    <a:lumOff val="60000"/>
                  </a:schemeClr>
                </a:solidFill>
                <a:round/>
              </a:ln>
              <a:effectLst/>
            </c:spPr>
            <c:extLst>
              <c:ext xmlns:c16="http://schemas.microsoft.com/office/drawing/2014/chart" uri="{C3380CC4-5D6E-409C-BE32-E72D297353CC}">
                <c16:uniqueId val="{0000000B-CDCA-4A54-8B66-6A89F08FA929}"/>
              </c:ext>
            </c:extLst>
          </c:dPt>
          <c:dPt>
            <c:idx val="7"/>
            <c:invertIfNegative val="0"/>
            <c:bubble3D val="0"/>
            <c:spPr>
              <a:solidFill>
                <a:schemeClr val="accent6">
                  <a:lumMod val="40000"/>
                  <a:lumOff val="60000"/>
                </a:schemeClr>
              </a:solidFill>
              <a:ln w="9525" cap="flat" cmpd="sng" algn="ctr">
                <a:solidFill>
                  <a:schemeClr val="accent6">
                    <a:lumMod val="40000"/>
                    <a:lumOff val="60000"/>
                  </a:schemeClr>
                </a:solidFill>
                <a:round/>
              </a:ln>
              <a:effectLst/>
            </c:spPr>
            <c:extLst>
              <c:ext xmlns:c16="http://schemas.microsoft.com/office/drawing/2014/chart" uri="{C3380CC4-5D6E-409C-BE32-E72D297353CC}">
                <c16:uniqueId val="{0000000D-CDCA-4A54-8B66-6A89F08FA929}"/>
              </c:ext>
            </c:extLst>
          </c:dPt>
          <c:dPt>
            <c:idx val="8"/>
            <c:invertIfNegative val="0"/>
            <c:bubble3D val="0"/>
            <c:spPr>
              <a:solidFill>
                <a:schemeClr val="accent6">
                  <a:lumMod val="40000"/>
                  <a:lumOff val="60000"/>
                </a:schemeClr>
              </a:solidFill>
              <a:ln w="9525" cap="flat" cmpd="sng" algn="ctr">
                <a:solidFill>
                  <a:schemeClr val="accent6">
                    <a:lumMod val="40000"/>
                    <a:lumOff val="60000"/>
                  </a:schemeClr>
                </a:solidFill>
                <a:round/>
              </a:ln>
              <a:effectLst/>
            </c:spPr>
            <c:extLst>
              <c:ext xmlns:c16="http://schemas.microsoft.com/office/drawing/2014/chart" uri="{C3380CC4-5D6E-409C-BE32-E72D297353CC}">
                <c16:uniqueId val="{0000000F-CDCA-4A54-8B66-6A89F08FA929}"/>
              </c:ext>
            </c:extLst>
          </c:dPt>
          <c:dPt>
            <c:idx val="9"/>
            <c:invertIfNegative val="0"/>
            <c:bubble3D val="0"/>
            <c:spPr>
              <a:solidFill>
                <a:schemeClr val="accent6">
                  <a:lumMod val="40000"/>
                  <a:lumOff val="60000"/>
                </a:schemeClr>
              </a:solidFill>
              <a:ln w="9525" cap="flat" cmpd="sng" algn="ctr">
                <a:solidFill>
                  <a:schemeClr val="accent6">
                    <a:lumMod val="40000"/>
                    <a:lumOff val="60000"/>
                  </a:schemeClr>
                </a:solidFill>
                <a:round/>
              </a:ln>
              <a:effectLst/>
            </c:spPr>
            <c:extLst>
              <c:ext xmlns:c16="http://schemas.microsoft.com/office/drawing/2014/chart" uri="{C3380CC4-5D6E-409C-BE32-E72D297353CC}">
                <c16:uniqueId val="{00000011-CDCA-4A54-8B66-6A89F08FA929}"/>
              </c:ext>
            </c:extLst>
          </c:dPt>
          <c:dLbls>
            <c:dLbl>
              <c:idx val="0"/>
              <c:layout>
                <c:manualLayout>
                  <c:x val="-1.1111111111111113E-2"/>
                  <c:y val="-7.048459236410753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DCA-4A54-8B66-6A89F08FA929}"/>
                </c:ext>
              </c:extLst>
            </c:dLbl>
            <c:dLbl>
              <c:idx val="1"/>
              <c:layout>
                <c:manualLayout>
                  <c:x val="1.1111111111111098E-2"/>
                  <c:y val="-5.873716030342298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DCA-4A54-8B66-6A89F08FA929}"/>
                </c:ext>
              </c:extLst>
            </c:dLbl>
            <c:dLbl>
              <c:idx val="2"/>
              <c:layout>
                <c:manualLayout>
                  <c:x val="-8.0555555555555575E-2"/>
                  <c:y val="-9.39794564854766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DCA-4A54-8B66-6A89F08FA929}"/>
                </c:ext>
              </c:extLst>
            </c:dLbl>
            <c:dLbl>
              <c:idx val="3"/>
              <c:layout>
                <c:manualLayout>
                  <c:x val="-5.5555555555555558E-3"/>
                  <c:y val="-9.397945648547666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DCA-4A54-8B66-6A89F08FA929}"/>
                </c:ext>
              </c:extLst>
            </c:dLbl>
            <c:dLbl>
              <c:idx val="4"/>
              <c:layout>
                <c:manualLayout>
                  <c:x val="-5.5555555555555558E-3"/>
                  <c:y val="-9.397945648547666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DCA-4A54-8B66-6A89F08FA929}"/>
                </c:ext>
              </c:extLst>
            </c:dLbl>
            <c:dLbl>
              <c:idx val="6"/>
              <c:layout>
                <c:manualLayout>
                  <c:x val="0.11111111111111101"/>
                  <c:y val="-3.524229618205378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DCA-4A54-8B66-6A89F08FA929}"/>
                </c:ext>
              </c:extLst>
            </c:dLbl>
            <c:dLbl>
              <c:idx val="7"/>
              <c:layout>
                <c:manualLayout>
                  <c:x val="5.5555555555555552E-2"/>
                  <c:y val="-8.223202442479207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DCA-4A54-8B66-6A89F08FA929}"/>
                </c:ext>
              </c:extLst>
            </c:dLbl>
            <c:dLbl>
              <c:idx val="8"/>
              <c:layout>
                <c:manualLayout>
                  <c:x val="8.6111111111111013E-2"/>
                  <c:y val="-5.482134961652804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DCA-4A54-8B66-6A89F08FA929}"/>
                </c:ext>
              </c:extLst>
            </c:dLbl>
            <c:dLbl>
              <c:idx val="9"/>
              <c:layout>
                <c:manualLayout>
                  <c:x val="9.1666666666666466E-2"/>
                  <c:y val="-3.915810686894860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DCA-4A54-8B66-6A89F08FA929}"/>
                </c:ext>
              </c:extLst>
            </c:dLbl>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Sheet1!$H$3:$H$13</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Sheet1!$I$3:$I$13</c:f>
              <c:numCache>
                <c:formatCode>_ "Rs."\ * #,##0_ ;_ "Rs."\ * \-#,##0_ ;_ "Rs."\ * "-"_ ;_ @_ </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12-CDCA-4A54-8B66-6A89F08FA929}"/>
            </c:ext>
          </c:extLst>
        </c:ser>
        <c:dLbls>
          <c:dLblPos val="inEnd"/>
          <c:showLegendKey val="0"/>
          <c:showVal val="1"/>
          <c:showCatName val="0"/>
          <c:showSerName val="0"/>
          <c:showPercent val="0"/>
          <c:showBubbleSize val="0"/>
        </c:dLbls>
        <c:gapWidth val="65"/>
        <c:axId val="911719584"/>
        <c:axId val="910591104"/>
      </c:barChart>
      <c:catAx>
        <c:axId val="9117195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0591104"/>
        <c:crosses val="autoZero"/>
        <c:auto val="1"/>
        <c:lblAlgn val="ctr"/>
        <c:lblOffset val="100"/>
        <c:noMultiLvlLbl val="0"/>
      </c:catAx>
      <c:valAx>
        <c:axId val="91059110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quot;Rs.&quot;\ * #,##0_ ;_ &quot;Rs.&quot;\ * \-#,##0_ ;_ &quot;Rs.&quot;\ * &quot;-&quot;_ ;_ @_ " sourceLinked="1"/>
        <c:majorTickMark val="none"/>
        <c:minorTickMark val="none"/>
        <c:tickLblPos val="nextTo"/>
        <c:crossAx val="911719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357187</xdr:colOff>
      <xdr:row>3</xdr:row>
      <xdr:rowOff>80962</xdr:rowOff>
    </xdr:from>
    <xdr:to>
      <xdr:col>9</xdr:col>
      <xdr:colOff>52387</xdr:colOff>
      <xdr:row>17</xdr:row>
      <xdr:rowOff>157162</xdr:rowOff>
    </xdr:to>
    <xdr:graphicFrame macro="">
      <xdr:nvGraphicFramePr>
        <xdr:cNvPr id="2" name="Chart 1">
          <a:extLst>
            <a:ext uri="{FF2B5EF4-FFF2-40B4-BE49-F238E27FC236}">
              <a16:creationId xmlns:a16="http://schemas.microsoft.com/office/drawing/2014/main" id="{80C54E2A-1112-9AC2-2FFA-DA2B05C5AB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12</xdr:row>
      <xdr:rowOff>128586</xdr:rowOff>
    </xdr:from>
    <xdr:to>
      <xdr:col>4</xdr:col>
      <xdr:colOff>419100</xdr:colOff>
      <xdr:row>28</xdr:row>
      <xdr:rowOff>47625</xdr:rowOff>
    </xdr:to>
    <xdr:graphicFrame macro="">
      <xdr:nvGraphicFramePr>
        <xdr:cNvPr id="2" name="Chart 1">
          <a:extLst>
            <a:ext uri="{FF2B5EF4-FFF2-40B4-BE49-F238E27FC236}">
              <a16:creationId xmlns:a16="http://schemas.microsoft.com/office/drawing/2014/main" id="{6C8C43D0-F561-1E25-A5F0-BA2830DEC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561975</xdr:colOff>
      <xdr:row>14</xdr:row>
      <xdr:rowOff>171449</xdr:rowOff>
    </xdr:from>
    <xdr:to>
      <xdr:col>10</xdr:col>
      <xdr:colOff>142875</xdr:colOff>
      <xdr:row>29</xdr:row>
      <xdr:rowOff>52386</xdr:rowOff>
    </xdr:to>
    <xdr:graphicFrame macro="">
      <xdr:nvGraphicFramePr>
        <xdr:cNvPr id="3" name="Chart 2">
          <a:extLst>
            <a:ext uri="{FF2B5EF4-FFF2-40B4-BE49-F238E27FC236}">
              <a16:creationId xmlns:a16="http://schemas.microsoft.com/office/drawing/2014/main" id="{D49D3D65-48FF-EB1B-50AC-513020A036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30</xdr:row>
      <xdr:rowOff>47625</xdr:rowOff>
    </xdr:from>
    <xdr:to>
      <xdr:col>4</xdr:col>
      <xdr:colOff>419100</xdr:colOff>
      <xdr:row>47</xdr:row>
      <xdr:rowOff>52387</xdr:rowOff>
    </xdr:to>
    <xdr:graphicFrame macro="">
      <xdr:nvGraphicFramePr>
        <xdr:cNvPr id="4" name="Chart 3">
          <a:extLst>
            <a:ext uri="{FF2B5EF4-FFF2-40B4-BE49-F238E27FC236}">
              <a16:creationId xmlns:a16="http://schemas.microsoft.com/office/drawing/2014/main" id="{92F9B810-BE5E-90DF-2166-395BFE8620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981075</xdr:colOff>
      <xdr:row>30</xdr:row>
      <xdr:rowOff>185737</xdr:rowOff>
    </xdr:from>
    <xdr:to>
      <xdr:col>10</xdr:col>
      <xdr:colOff>466725</xdr:colOff>
      <xdr:row>45</xdr:row>
      <xdr:rowOff>71437</xdr:rowOff>
    </xdr:to>
    <xdr:graphicFrame macro="">
      <xdr:nvGraphicFramePr>
        <xdr:cNvPr id="5" name="Chart 4">
          <a:extLst>
            <a:ext uri="{FF2B5EF4-FFF2-40B4-BE49-F238E27FC236}">
              <a16:creationId xmlns:a16="http://schemas.microsoft.com/office/drawing/2014/main" id="{B2FD1D06-EE03-6D33-358F-A89CA3566E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333375</xdr:colOff>
      <xdr:row>0</xdr:row>
      <xdr:rowOff>180975</xdr:rowOff>
    </xdr:from>
    <xdr:to>
      <xdr:col>22</xdr:col>
      <xdr:colOff>314325</xdr:colOff>
      <xdr:row>15</xdr:row>
      <xdr:rowOff>28575</xdr:rowOff>
    </xdr:to>
    <mc:AlternateContent xmlns:mc="http://schemas.openxmlformats.org/markup-compatibility/2006" xmlns:a14="http://schemas.microsoft.com/office/drawing/2010/main">
      <mc:Choice Requires="a14">
        <xdr:graphicFrame macro="">
          <xdr:nvGraphicFramePr>
            <xdr:cNvPr id="9" name="Sales Person">
              <a:extLst>
                <a:ext uri="{FF2B5EF4-FFF2-40B4-BE49-F238E27FC236}">
                  <a16:creationId xmlns:a16="http://schemas.microsoft.com/office/drawing/2014/main" id="{D0C72C89-BA1C-ADCA-92B5-77E24BD9046F}"/>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15868650" y="180975"/>
              <a:ext cx="1809750" cy="2705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9525</xdr:colOff>
      <xdr:row>1</xdr:row>
      <xdr:rowOff>0</xdr:rowOff>
    </xdr:from>
    <xdr:to>
      <xdr:col>19</xdr:col>
      <xdr:colOff>28575</xdr:colOff>
      <xdr:row>7</xdr:row>
      <xdr:rowOff>28575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37536C57-28B1-A2F8-29A4-ADADE727FA3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716000" y="190500"/>
              <a:ext cx="1847850"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419100</xdr:colOff>
      <xdr:row>1</xdr:row>
      <xdr:rowOff>133350</xdr:rowOff>
    </xdr:from>
    <xdr:to>
      <xdr:col>15</xdr:col>
      <xdr:colOff>419100</xdr:colOff>
      <xdr:row>14</xdr:row>
      <xdr:rowOff>152400</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E92699F8-4510-B872-69E0-B8F69CBD778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687175" y="323850"/>
              <a:ext cx="1828800" cy="2495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44449</xdr:colOff>
      <xdr:row>0</xdr:row>
      <xdr:rowOff>144991</xdr:rowOff>
    </xdr:from>
    <xdr:to>
      <xdr:col>21</xdr:col>
      <xdr:colOff>555626</xdr:colOff>
      <xdr:row>5</xdr:row>
      <xdr:rowOff>105833</xdr:rowOff>
    </xdr:to>
    <xdr:grpSp>
      <xdr:nvGrpSpPr>
        <xdr:cNvPr id="10" name="Group 9">
          <a:extLst>
            <a:ext uri="{FF2B5EF4-FFF2-40B4-BE49-F238E27FC236}">
              <a16:creationId xmlns:a16="http://schemas.microsoft.com/office/drawing/2014/main" id="{A2190221-7D8D-C7E5-264E-64FF90CB190B}"/>
            </a:ext>
          </a:extLst>
        </xdr:cNvPr>
        <xdr:cNvGrpSpPr/>
      </xdr:nvGrpSpPr>
      <xdr:grpSpPr>
        <a:xfrm>
          <a:off x="44449" y="144991"/>
          <a:ext cx="13325279" cy="928225"/>
          <a:chOff x="600074" y="171450"/>
          <a:chExt cx="10487025" cy="876300"/>
        </a:xfrm>
      </xdr:grpSpPr>
      <xdr:sp macro="" textlink="">
        <xdr:nvSpPr>
          <xdr:cNvPr id="3" name="Rectangle: Diagonal Corners Rounded 2">
            <a:extLst>
              <a:ext uri="{FF2B5EF4-FFF2-40B4-BE49-F238E27FC236}">
                <a16:creationId xmlns:a16="http://schemas.microsoft.com/office/drawing/2014/main" id="{79742B6E-0BBD-AACE-E1C2-00B036A6BEC8}"/>
              </a:ext>
            </a:extLst>
          </xdr:cNvPr>
          <xdr:cNvSpPr/>
        </xdr:nvSpPr>
        <xdr:spPr>
          <a:xfrm>
            <a:off x="600074" y="171450"/>
            <a:ext cx="10487025" cy="876300"/>
          </a:xfrm>
          <a:prstGeom prst="round2DiagRect">
            <a:avLst/>
          </a:prstGeom>
          <a:solidFill>
            <a:srgbClr val="C0F4FE"/>
          </a:solidFill>
          <a:ln w="38100">
            <a:solidFill>
              <a:schemeClr val="bg1">
                <a:lumMod val="75000"/>
              </a:schemeClr>
            </a:solidFill>
          </a:ln>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r>
              <a:rPr lang="en-US" sz="3200" b="1" i="0" cap="none" spc="0">
                <a:ln w="9525">
                  <a:solidFill>
                    <a:schemeClr val="bg1"/>
                  </a:solidFill>
                  <a:prstDash val="solid"/>
                </a:ln>
                <a:solidFill>
                  <a:schemeClr val="tx1"/>
                </a:solidFill>
                <a:effectLst>
                  <a:outerShdw blurRad="12700" dist="38100" dir="2700000" algn="tl" rotWithShape="0">
                    <a:schemeClr val="bg1">
                      <a:lumMod val="50000"/>
                    </a:schemeClr>
                  </a:outerShdw>
                </a:effectLst>
              </a:rPr>
              <a:t>                                                         SALES</a:t>
            </a:r>
            <a:r>
              <a:rPr lang="en-US" sz="3200" b="1" i="0"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DASHBOARD-2026</a:t>
            </a:r>
            <a:endParaRPr lang="en-US" sz="3200" b="1" i="0"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pic>
        <xdr:nvPicPr>
          <xdr:cNvPr id="5" name="Graphic 4" descr="Signal">
            <a:extLst>
              <a:ext uri="{FF2B5EF4-FFF2-40B4-BE49-F238E27FC236}">
                <a16:creationId xmlns:a16="http://schemas.microsoft.com/office/drawing/2014/main" id="{E26D529D-2F02-A012-BA31-2B35EE451CB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473449" y="186954"/>
            <a:ext cx="581025" cy="581025"/>
          </a:xfrm>
          <a:prstGeom prst="rect">
            <a:avLst/>
          </a:prstGeom>
        </xdr:spPr>
      </xdr:pic>
    </xdr:grpSp>
    <xdr:clientData/>
  </xdr:twoCellAnchor>
  <xdr:twoCellAnchor>
    <xdr:from>
      <xdr:col>0</xdr:col>
      <xdr:colOff>44450</xdr:colOff>
      <xdr:row>6</xdr:row>
      <xdr:rowOff>22755</xdr:rowOff>
    </xdr:from>
    <xdr:to>
      <xdr:col>4</xdr:col>
      <xdr:colOff>44451</xdr:colOff>
      <xdr:row>10</xdr:row>
      <xdr:rowOff>127531</xdr:rowOff>
    </xdr:to>
    <xdr:grpSp>
      <xdr:nvGrpSpPr>
        <xdr:cNvPr id="16" name="Group 15">
          <a:extLst>
            <a:ext uri="{FF2B5EF4-FFF2-40B4-BE49-F238E27FC236}">
              <a16:creationId xmlns:a16="http://schemas.microsoft.com/office/drawing/2014/main" id="{1C09DBB0-A41C-9D53-DDF1-609C9989EC89}"/>
            </a:ext>
          </a:extLst>
        </xdr:cNvPr>
        <xdr:cNvGrpSpPr/>
      </xdr:nvGrpSpPr>
      <xdr:grpSpPr>
        <a:xfrm>
          <a:off x="44450" y="1183614"/>
          <a:ext cx="2440782" cy="878683"/>
          <a:chOff x="609601" y="1343026"/>
          <a:chExt cx="2381250" cy="866775"/>
        </a:xfrm>
      </xdr:grpSpPr>
      <xdr:grpSp>
        <xdr:nvGrpSpPr>
          <xdr:cNvPr id="15" name="Group 14">
            <a:extLst>
              <a:ext uri="{FF2B5EF4-FFF2-40B4-BE49-F238E27FC236}">
                <a16:creationId xmlns:a16="http://schemas.microsoft.com/office/drawing/2014/main" id="{5DDAEE10-9B3F-E450-FB65-EABD76E212CD}"/>
              </a:ext>
            </a:extLst>
          </xdr:cNvPr>
          <xdr:cNvGrpSpPr/>
        </xdr:nvGrpSpPr>
        <xdr:grpSpPr>
          <a:xfrm>
            <a:off x="609601" y="1343026"/>
            <a:ext cx="2381250" cy="866775"/>
            <a:chOff x="581026" y="1533526"/>
            <a:chExt cx="2381250" cy="866775"/>
          </a:xfrm>
        </xdr:grpSpPr>
        <xdr:sp macro="" textlink="">
          <xdr:nvSpPr>
            <xdr:cNvPr id="11" name="Rectangle: Diagonal Corners Rounded 10">
              <a:extLst>
                <a:ext uri="{FF2B5EF4-FFF2-40B4-BE49-F238E27FC236}">
                  <a16:creationId xmlns:a16="http://schemas.microsoft.com/office/drawing/2014/main" id="{6813F230-24C6-794E-9BBC-65E12D769764}"/>
                </a:ext>
              </a:extLst>
            </xdr:cNvPr>
            <xdr:cNvSpPr/>
          </xdr:nvSpPr>
          <xdr:spPr>
            <a:xfrm>
              <a:off x="581026" y="1533526"/>
              <a:ext cx="2381250" cy="857250"/>
            </a:xfrm>
            <a:prstGeom prst="round2DiagRect">
              <a:avLst/>
            </a:prstGeom>
            <a:solidFill>
              <a:srgbClr val="C0F4FE"/>
            </a:solidFill>
            <a:ln w="2857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baseline="0">
                  <a:solidFill>
                    <a:schemeClr val="tx1"/>
                  </a:solidFill>
                </a:rPr>
                <a:t>                   </a:t>
              </a:r>
              <a:r>
                <a:rPr lang="en-US" sz="1200" b="1" baseline="0">
                  <a:solidFill>
                    <a:schemeClr val="tx1"/>
                  </a:solidFill>
                </a:rPr>
                <a:t>TOTAL SALES</a:t>
              </a:r>
            </a:p>
            <a:p>
              <a:pPr algn="l"/>
              <a:r>
                <a:rPr lang="en-US" sz="2400" b="1" baseline="0">
                  <a:solidFill>
                    <a:schemeClr val="tx1"/>
                  </a:solidFill>
                </a:rPr>
                <a:t>                        </a:t>
              </a:r>
              <a:endParaRPr lang="en-US" sz="2400" b="1">
                <a:solidFill>
                  <a:schemeClr val="tx1"/>
                </a:solidFill>
              </a:endParaRPr>
            </a:p>
          </xdr:txBody>
        </xdr:sp>
        <xdr:sp macro="" textlink="">
          <xdr:nvSpPr>
            <xdr:cNvPr id="12" name="Rectangle: Diagonal Corners Rounded 11">
              <a:extLst>
                <a:ext uri="{FF2B5EF4-FFF2-40B4-BE49-F238E27FC236}">
                  <a16:creationId xmlns:a16="http://schemas.microsoft.com/office/drawing/2014/main" id="{BCAE52D5-8968-A31D-BD86-31BDBDB7182A}"/>
                </a:ext>
              </a:extLst>
            </xdr:cNvPr>
            <xdr:cNvSpPr/>
          </xdr:nvSpPr>
          <xdr:spPr>
            <a:xfrm>
              <a:off x="590551" y="1543051"/>
              <a:ext cx="1019174" cy="857250"/>
            </a:xfrm>
            <a:prstGeom prst="round2DiagRect">
              <a:avLst/>
            </a:prstGeom>
            <a:solidFill>
              <a:schemeClr val="bg1">
                <a:lumMod val="85000"/>
              </a:schemeClr>
            </a:solidFill>
            <a:ln w="2857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tx1"/>
                  </a:solidFill>
                </a:rPr>
                <a:t>     TOTAL</a:t>
              </a:r>
              <a:r>
                <a:rPr lang="en-US" sz="2400" b="1" baseline="0">
                  <a:solidFill>
                    <a:schemeClr val="tx1"/>
                  </a:solidFill>
                </a:rPr>
                <a:t> SALES</a:t>
              </a:r>
              <a:endParaRPr lang="en-US" sz="2400" b="1">
                <a:solidFill>
                  <a:schemeClr val="tx1"/>
                </a:solidFill>
              </a:endParaRPr>
            </a:p>
          </xdr:txBody>
        </xdr:sp>
      </xdr:grpSp>
      <xdr:sp macro="" textlink="SalesData!M3">
        <xdr:nvSpPr>
          <xdr:cNvPr id="14" name="TextBox 13">
            <a:extLst>
              <a:ext uri="{FF2B5EF4-FFF2-40B4-BE49-F238E27FC236}">
                <a16:creationId xmlns:a16="http://schemas.microsoft.com/office/drawing/2014/main" id="{6E7F926F-E576-4692-9275-1B5B218D7442}"/>
              </a:ext>
            </a:extLst>
          </xdr:cNvPr>
          <xdr:cNvSpPr txBox="1"/>
        </xdr:nvSpPr>
        <xdr:spPr>
          <a:xfrm>
            <a:off x="1714500" y="1771651"/>
            <a:ext cx="11811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1959317-71CB-4337-A0EA-BB3D21A84926}" type="TxLink">
              <a:rPr lang="en-US" sz="1100" b="0" i="0" u="none" strike="noStrike">
                <a:solidFill>
                  <a:srgbClr val="000000"/>
                </a:solidFill>
                <a:latin typeface="Aptos Narrow"/>
              </a:rPr>
              <a:pPr/>
              <a:t> Rs. 12,944,500 </a:t>
            </a:fld>
            <a:endParaRPr lang="en-US" sz="1100"/>
          </a:p>
        </xdr:txBody>
      </xdr:sp>
    </xdr:grpSp>
    <xdr:clientData/>
  </xdr:twoCellAnchor>
  <xdr:twoCellAnchor>
    <xdr:from>
      <xdr:col>4</xdr:col>
      <xdr:colOff>354542</xdr:colOff>
      <xdr:row>6</xdr:row>
      <xdr:rowOff>26460</xdr:rowOff>
    </xdr:from>
    <xdr:to>
      <xdr:col>8</xdr:col>
      <xdr:colOff>573617</xdr:colOff>
      <xdr:row>10</xdr:row>
      <xdr:rowOff>131236</xdr:rowOff>
    </xdr:to>
    <xdr:grpSp>
      <xdr:nvGrpSpPr>
        <xdr:cNvPr id="18" name="Group 17">
          <a:extLst>
            <a:ext uri="{FF2B5EF4-FFF2-40B4-BE49-F238E27FC236}">
              <a16:creationId xmlns:a16="http://schemas.microsoft.com/office/drawing/2014/main" id="{473EC11D-84DC-4DC8-B0BB-C4DBB3127C4C}"/>
            </a:ext>
          </a:extLst>
        </xdr:cNvPr>
        <xdr:cNvGrpSpPr/>
      </xdr:nvGrpSpPr>
      <xdr:grpSpPr>
        <a:xfrm>
          <a:off x="2795323" y="1187319"/>
          <a:ext cx="2659857" cy="878683"/>
          <a:chOff x="609601" y="1343026"/>
          <a:chExt cx="2545474" cy="866775"/>
        </a:xfrm>
      </xdr:grpSpPr>
      <xdr:grpSp>
        <xdr:nvGrpSpPr>
          <xdr:cNvPr id="19" name="Group 18">
            <a:extLst>
              <a:ext uri="{FF2B5EF4-FFF2-40B4-BE49-F238E27FC236}">
                <a16:creationId xmlns:a16="http://schemas.microsoft.com/office/drawing/2014/main" id="{CF265804-58AF-FA95-E736-92C62D8E90D5}"/>
              </a:ext>
            </a:extLst>
          </xdr:cNvPr>
          <xdr:cNvGrpSpPr/>
        </xdr:nvGrpSpPr>
        <xdr:grpSpPr>
          <a:xfrm>
            <a:off x="609601" y="1343026"/>
            <a:ext cx="2381250" cy="866775"/>
            <a:chOff x="581026" y="1533526"/>
            <a:chExt cx="2381250" cy="866775"/>
          </a:xfrm>
        </xdr:grpSpPr>
        <xdr:sp macro="" textlink="">
          <xdr:nvSpPr>
            <xdr:cNvPr id="21" name="Rectangle: Diagonal Corners Rounded 20">
              <a:extLst>
                <a:ext uri="{FF2B5EF4-FFF2-40B4-BE49-F238E27FC236}">
                  <a16:creationId xmlns:a16="http://schemas.microsoft.com/office/drawing/2014/main" id="{1143DC0E-36C7-D8EC-01C9-EF77547D6A8C}"/>
                </a:ext>
              </a:extLst>
            </xdr:cNvPr>
            <xdr:cNvSpPr/>
          </xdr:nvSpPr>
          <xdr:spPr>
            <a:xfrm>
              <a:off x="581026" y="1533526"/>
              <a:ext cx="2381250" cy="857250"/>
            </a:xfrm>
            <a:prstGeom prst="round2DiagRect">
              <a:avLst/>
            </a:prstGeom>
            <a:solidFill>
              <a:srgbClr val="C0F4FE"/>
            </a:solidFill>
            <a:ln w="2857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baseline="0">
                  <a:solidFill>
                    <a:schemeClr val="tx1"/>
                  </a:solidFill>
                </a:rPr>
                <a:t>                    </a:t>
              </a:r>
              <a:r>
                <a:rPr lang="en-US" sz="1100" b="1" baseline="0">
                  <a:solidFill>
                    <a:schemeClr val="tx1"/>
                  </a:solidFill>
                </a:rPr>
                <a:t>AVERAGE SALES</a:t>
              </a:r>
            </a:p>
            <a:p>
              <a:pPr algn="l"/>
              <a:r>
                <a:rPr lang="en-US" sz="2400" b="1" baseline="0">
                  <a:solidFill>
                    <a:schemeClr val="tx1"/>
                  </a:solidFill>
                </a:rPr>
                <a:t>                        </a:t>
              </a:r>
              <a:endParaRPr lang="en-US" sz="2400" b="1">
                <a:solidFill>
                  <a:schemeClr val="tx1"/>
                </a:solidFill>
              </a:endParaRPr>
            </a:p>
          </xdr:txBody>
        </xdr:sp>
        <xdr:sp macro="" textlink="">
          <xdr:nvSpPr>
            <xdr:cNvPr id="22" name="Rectangle: Diagonal Corners Rounded 21">
              <a:extLst>
                <a:ext uri="{FF2B5EF4-FFF2-40B4-BE49-F238E27FC236}">
                  <a16:creationId xmlns:a16="http://schemas.microsoft.com/office/drawing/2014/main" id="{79224471-BAD4-2844-C4E3-3DC0146934A2}"/>
                </a:ext>
              </a:extLst>
            </xdr:cNvPr>
            <xdr:cNvSpPr/>
          </xdr:nvSpPr>
          <xdr:spPr>
            <a:xfrm>
              <a:off x="590551" y="1543051"/>
              <a:ext cx="1019174" cy="857250"/>
            </a:xfrm>
            <a:prstGeom prst="round2DiagRect">
              <a:avLst/>
            </a:prstGeom>
            <a:solidFill>
              <a:schemeClr val="bg1">
                <a:lumMod val="85000"/>
              </a:schemeClr>
            </a:solidFill>
            <a:ln w="2857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tx1"/>
                  </a:solidFill>
                </a:rPr>
                <a:t>     TOTAL</a:t>
              </a:r>
              <a:r>
                <a:rPr lang="en-US" sz="2400" b="1" baseline="0">
                  <a:solidFill>
                    <a:schemeClr val="tx1"/>
                  </a:solidFill>
                </a:rPr>
                <a:t> SALES</a:t>
              </a:r>
              <a:endParaRPr lang="en-US" sz="2400" b="1">
                <a:solidFill>
                  <a:schemeClr val="tx1"/>
                </a:solidFill>
              </a:endParaRPr>
            </a:p>
          </xdr:txBody>
        </xdr:sp>
      </xdr:grpSp>
      <xdr:sp macro="" textlink="SalesData!M9">
        <xdr:nvSpPr>
          <xdr:cNvPr id="20" name="TextBox 19">
            <a:extLst>
              <a:ext uri="{FF2B5EF4-FFF2-40B4-BE49-F238E27FC236}">
                <a16:creationId xmlns:a16="http://schemas.microsoft.com/office/drawing/2014/main" id="{7596901E-33C1-9FC5-B6C0-82DF3A9F934F}"/>
              </a:ext>
            </a:extLst>
          </xdr:cNvPr>
          <xdr:cNvSpPr txBox="1"/>
        </xdr:nvSpPr>
        <xdr:spPr>
          <a:xfrm>
            <a:off x="1823983" y="1743076"/>
            <a:ext cx="13310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6186FF08-2D18-48FA-866A-01EA8BB503B9}" type="TxLink">
              <a:rPr lang="en-US" sz="1100" b="0" i="0" u="none" strike="noStrike">
                <a:solidFill>
                  <a:srgbClr val="000000"/>
                </a:solidFill>
                <a:latin typeface="Aptos Narrow"/>
              </a:rPr>
              <a:pPr/>
              <a:t> Rs. 258,890 </a:t>
            </a:fld>
            <a:endParaRPr lang="en-US" sz="1100"/>
          </a:p>
        </xdr:txBody>
      </xdr:sp>
    </xdr:grpSp>
    <xdr:clientData/>
  </xdr:twoCellAnchor>
  <xdr:twoCellAnchor>
    <xdr:from>
      <xdr:col>9</xdr:col>
      <xdr:colOff>76729</xdr:colOff>
      <xdr:row>6</xdr:row>
      <xdr:rowOff>32279</xdr:rowOff>
    </xdr:from>
    <xdr:to>
      <xdr:col>13</xdr:col>
      <xdr:colOff>319507</xdr:colOff>
      <xdr:row>10</xdr:row>
      <xdr:rowOff>137055</xdr:rowOff>
    </xdr:to>
    <xdr:grpSp>
      <xdr:nvGrpSpPr>
        <xdr:cNvPr id="43" name="Group 42">
          <a:extLst>
            <a:ext uri="{FF2B5EF4-FFF2-40B4-BE49-F238E27FC236}">
              <a16:creationId xmlns:a16="http://schemas.microsoft.com/office/drawing/2014/main" id="{9D46D3B0-AB49-4CE4-9FF3-C33642E5512A}"/>
            </a:ext>
          </a:extLst>
        </xdr:cNvPr>
        <xdr:cNvGrpSpPr/>
      </xdr:nvGrpSpPr>
      <xdr:grpSpPr>
        <a:xfrm>
          <a:off x="5568487" y="1193138"/>
          <a:ext cx="2683559" cy="878683"/>
          <a:chOff x="609601" y="1343026"/>
          <a:chExt cx="2579075" cy="866775"/>
        </a:xfrm>
      </xdr:grpSpPr>
      <xdr:grpSp>
        <xdr:nvGrpSpPr>
          <xdr:cNvPr id="44" name="Group 43">
            <a:extLst>
              <a:ext uri="{FF2B5EF4-FFF2-40B4-BE49-F238E27FC236}">
                <a16:creationId xmlns:a16="http://schemas.microsoft.com/office/drawing/2014/main" id="{2E5DCFC1-EF3E-5DDD-AB17-5DE1C6CDE1A0}"/>
              </a:ext>
            </a:extLst>
          </xdr:cNvPr>
          <xdr:cNvGrpSpPr/>
        </xdr:nvGrpSpPr>
        <xdr:grpSpPr>
          <a:xfrm>
            <a:off x="609601" y="1343026"/>
            <a:ext cx="2381250" cy="866775"/>
            <a:chOff x="581026" y="1533526"/>
            <a:chExt cx="2381250" cy="866775"/>
          </a:xfrm>
        </xdr:grpSpPr>
        <xdr:sp macro="" textlink="">
          <xdr:nvSpPr>
            <xdr:cNvPr id="46" name="Rectangle: Diagonal Corners Rounded 45">
              <a:extLst>
                <a:ext uri="{FF2B5EF4-FFF2-40B4-BE49-F238E27FC236}">
                  <a16:creationId xmlns:a16="http://schemas.microsoft.com/office/drawing/2014/main" id="{7AAF4687-5D3B-328A-25BE-A22FC56D1CDB}"/>
                </a:ext>
              </a:extLst>
            </xdr:cNvPr>
            <xdr:cNvSpPr/>
          </xdr:nvSpPr>
          <xdr:spPr>
            <a:xfrm>
              <a:off x="581026" y="1533526"/>
              <a:ext cx="2381250" cy="857250"/>
            </a:xfrm>
            <a:prstGeom prst="round2DiagRect">
              <a:avLst/>
            </a:prstGeom>
            <a:solidFill>
              <a:srgbClr val="C0F4FE"/>
            </a:solidFill>
            <a:ln w="2857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baseline="0">
                  <a:solidFill>
                    <a:schemeClr val="tx1"/>
                  </a:solidFill>
                </a:rPr>
                <a:t>                     </a:t>
              </a:r>
              <a:r>
                <a:rPr lang="en-US" sz="1200" b="1" baseline="0">
                  <a:solidFill>
                    <a:schemeClr val="tx1"/>
                  </a:solidFill>
                </a:rPr>
                <a:t>UNIT SOLD</a:t>
              </a:r>
            </a:p>
            <a:p>
              <a:pPr algn="l"/>
              <a:r>
                <a:rPr lang="en-US" sz="2400" b="1" baseline="0">
                  <a:solidFill>
                    <a:schemeClr val="tx1"/>
                  </a:solidFill>
                </a:rPr>
                <a:t>                        </a:t>
              </a:r>
              <a:endParaRPr lang="en-US" sz="2400" b="1">
                <a:solidFill>
                  <a:schemeClr val="tx1"/>
                </a:solidFill>
              </a:endParaRPr>
            </a:p>
          </xdr:txBody>
        </xdr:sp>
        <xdr:sp macro="" textlink="">
          <xdr:nvSpPr>
            <xdr:cNvPr id="47" name="Rectangle: Diagonal Corners Rounded 46">
              <a:extLst>
                <a:ext uri="{FF2B5EF4-FFF2-40B4-BE49-F238E27FC236}">
                  <a16:creationId xmlns:a16="http://schemas.microsoft.com/office/drawing/2014/main" id="{CDDE7E3E-5F80-CBDC-534B-810846C810A3}"/>
                </a:ext>
              </a:extLst>
            </xdr:cNvPr>
            <xdr:cNvSpPr/>
          </xdr:nvSpPr>
          <xdr:spPr>
            <a:xfrm>
              <a:off x="590551" y="1543051"/>
              <a:ext cx="1019174" cy="857250"/>
            </a:xfrm>
            <a:prstGeom prst="round2DiagRect">
              <a:avLst/>
            </a:prstGeom>
            <a:solidFill>
              <a:schemeClr val="bg1">
                <a:lumMod val="85000"/>
              </a:schemeClr>
            </a:solidFill>
            <a:ln w="2857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tx1"/>
                  </a:solidFill>
                </a:rPr>
                <a:t>     TOTAL</a:t>
              </a:r>
              <a:r>
                <a:rPr lang="en-US" sz="2400" b="1" baseline="0">
                  <a:solidFill>
                    <a:schemeClr val="tx1"/>
                  </a:solidFill>
                </a:rPr>
                <a:t> SALES</a:t>
              </a:r>
              <a:endParaRPr lang="en-US" sz="2400" b="1">
                <a:solidFill>
                  <a:schemeClr val="tx1"/>
                </a:solidFill>
              </a:endParaRPr>
            </a:p>
          </xdr:txBody>
        </xdr:sp>
      </xdr:grpSp>
      <xdr:sp macro="" textlink="SalesData!M5">
        <xdr:nvSpPr>
          <xdr:cNvPr id="45" name="TextBox 44">
            <a:extLst>
              <a:ext uri="{FF2B5EF4-FFF2-40B4-BE49-F238E27FC236}">
                <a16:creationId xmlns:a16="http://schemas.microsoft.com/office/drawing/2014/main" id="{60A03F16-229B-F9BB-1839-2B8F0AB307B1}"/>
              </a:ext>
            </a:extLst>
          </xdr:cNvPr>
          <xdr:cNvSpPr txBox="1"/>
        </xdr:nvSpPr>
        <xdr:spPr>
          <a:xfrm>
            <a:off x="2007576" y="1762126"/>
            <a:ext cx="11811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87660AF-5C16-48C0-8321-DD0F0A1D8B0B}" type="TxLink">
              <a:rPr lang="en-US" sz="1100" b="0" i="0" u="none" strike="noStrike" baseline="0">
                <a:solidFill>
                  <a:srgbClr val="000000"/>
                </a:solidFill>
                <a:latin typeface="Aptos Narrow"/>
              </a:rPr>
              <a:pPr/>
              <a:t>4705</a:t>
            </a:fld>
            <a:endParaRPr lang="en-US" sz="1100"/>
          </a:p>
        </xdr:txBody>
      </xdr:sp>
    </xdr:grpSp>
    <xdr:clientData/>
  </xdr:twoCellAnchor>
  <xdr:twoCellAnchor>
    <xdr:from>
      <xdr:col>13</xdr:col>
      <xdr:colOff>590550</xdr:colOff>
      <xdr:row>6</xdr:row>
      <xdr:rowOff>22755</xdr:rowOff>
    </xdr:from>
    <xdr:to>
      <xdr:col>17</xdr:col>
      <xdr:colOff>590550</xdr:colOff>
      <xdr:row>10</xdr:row>
      <xdr:rowOff>127530</xdr:rowOff>
    </xdr:to>
    <xdr:grpSp>
      <xdr:nvGrpSpPr>
        <xdr:cNvPr id="49" name="Group 48">
          <a:extLst>
            <a:ext uri="{FF2B5EF4-FFF2-40B4-BE49-F238E27FC236}">
              <a16:creationId xmlns:a16="http://schemas.microsoft.com/office/drawing/2014/main" id="{BE09D9AD-DDC3-44E2-883D-BBF6DDB21956}"/>
            </a:ext>
          </a:extLst>
        </xdr:cNvPr>
        <xdr:cNvGrpSpPr/>
      </xdr:nvGrpSpPr>
      <xdr:grpSpPr>
        <a:xfrm>
          <a:off x="8523089" y="1183614"/>
          <a:ext cx="2440781" cy="878682"/>
          <a:chOff x="581026" y="1533526"/>
          <a:chExt cx="2381250" cy="866774"/>
        </a:xfrm>
      </xdr:grpSpPr>
      <xdr:sp macro="" textlink="">
        <xdr:nvSpPr>
          <xdr:cNvPr id="51" name="Rectangle: Diagonal Corners Rounded 50">
            <a:extLst>
              <a:ext uri="{FF2B5EF4-FFF2-40B4-BE49-F238E27FC236}">
                <a16:creationId xmlns:a16="http://schemas.microsoft.com/office/drawing/2014/main" id="{CC52F25E-43E9-814B-E94C-B17A89E2CF30}"/>
              </a:ext>
            </a:extLst>
          </xdr:cNvPr>
          <xdr:cNvSpPr/>
        </xdr:nvSpPr>
        <xdr:spPr>
          <a:xfrm>
            <a:off x="581026" y="1533526"/>
            <a:ext cx="2381250" cy="857250"/>
          </a:xfrm>
          <a:prstGeom prst="round2DiagRect">
            <a:avLst/>
          </a:prstGeom>
          <a:solidFill>
            <a:srgbClr val="C0F4FE"/>
          </a:solidFill>
          <a:ln w="2857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baseline="0">
                <a:solidFill>
                  <a:schemeClr val="tx1"/>
                </a:solidFill>
              </a:rPr>
              <a:t>                   </a:t>
            </a:r>
            <a:r>
              <a:rPr lang="en-US" sz="1200" b="1" baseline="0">
                <a:solidFill>
                  <a:schemeClr val="tx1"/>
                </a:solidFill>
              </a:rPr>
              <a:t>TOTAL PROFIT</a:t>
            </a:r>
            <a:r>
              <a:rPr lang="en-US" sz="2400" b="1" baseline="0">
                <a:solidFill>
                  <a:schemeClr val="tx1"/>
                </a:solidFill>
              </a:rPr>
              <a:t>                        </a:t>
            </a:r>
            <a:endParaRPr lang="en-US" sz="2400" b="1">
              <a:solidFill>
                <a:schemeClr val="tx1"/>
              </a:solidFill>
            </a:endParaRPr>
          </a:p>
        </xdr:txBody>
      </xdr:sp>
      <xdr:sp macro="" textlink="">
        <xdr:nvSpPr>
          <xdr:cNvPr id="52" name="Rectangle: Diagonal Corners Rounded 51">
            <a:extLst>
              <a:ext uri="{FF2B5EF4-FFF2-40B4-BE49-F238E27FC236}">
                <a16:creationId xmlns:a16="http://schemas.microsoft.com/office/drawing/2014/main" id="{76256433-79E0-B42F-A848-5B68CC905F5B}"/>
              </a:ext>
            </a:extLst>
          </xdr:cNvPr>
          <xdr:cNvSpPr/>
        </xdr:nvSpPr>
        <xdr:spPr>
          <a:xfrm>
            <a:off x="590551" y="1543050"/>
            <a:ext cx="1019174" cy="857250"/>
          </a:xfrm>
          <a:prstGeom prst="round2DiagRect">
            <a:avLst/>
          </a:prstGeom>
          <a:solidFill>
            <a:schemeClr val="bg1">
              <a:lumMod val="85000"/>
            </a:schemeClr>
          </a:solidFill>
          <a:ln w="2857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tx1"/>
                </a:solidFill>
              </a:rPr>
              <a:t>     TOTAL</a:t>
            </a:r>
            <a:r>
              <a:rPr lang="en-US" sz="2400" b="1" baseline="0">
                <a:solidFill>
                  <a:schemeClr val="tx1"/>
                </a:solidFill>
              </a:rPr>
              <a:t> SALES</a:t>
            </a:r>
            <a:endParaRPr lang="en-US" sz="2400" b="1">
              <a:solidFill>
                <a:schemeClr val="tx1"/>
              </a:solidFill>
            </a:endParaRPr>
          </a:p>
        </xdr:txBody>
      </xdr:sp>
    </xdr:grpSp>
    <xdr:clientData/>
  </xdr:twoCellAnchor>
  <xdr:oneCellAnchor>
    <xdr:from>
      <xdr:col>16</xdr:col>
      <xdr:colOff>28575</xdr:colOff>
      <xdr:row>9</xdr:row>
      <xdr:rowOff>76200</xdr:rowOff>
    </xdr:from>
    <xdr:ext cx="1095375" cy="264560"/>
    <xdr:sp macro="" textlink="SalesData!M7">
      <xdr:nvSpPr>
        <xdr:cNvPr id="53" name="TextBox 52">
          <a:extLst>
            <a:ext uri="{FF2B5EF4-FFF2-40B4-BE49-F238E27FC236}">
              <a16:creationId xmlns:a16="http://schemas.microsoft.com/office/drawing/2014/main" id="{9D0B5D96-4E1C-F2E9-D727-0785173B205B}"/>
            </a:ext>
          </a:extLst>
        </xdr:cNvPr>
        <xdr:cNvSpPr txBox="1"/>
      </xdr:nvSpPr>
      <xdr:spPr>
        <a:xfrm>
          <a:off x="9782175" y="1790700"/>
          <a:ext cx="10953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DB18F19-2DFD-4CAB-BF07-12E6C65493EB}" type="TxLink">
            <a:rPr lang="en-US" sz="1100" b="0" i="0" u="none" strike="noStrike">
              <a:solidFill>
                <a:srgbClr val="000000"/>
              </a:solidFill>
              <a:latin typeface="Aptos Narrow"/>
            </a:rPr>
            <a:pPr/>
            <a:t> Rs. 3,834,400 </a:t>
          </a:fld>
          <a:endParaRPr lang="en-US" sz="1100"/>
        </a:p>
      </xdr:txBody>
    </xdr:sp>
    <xdr:clientData/>
  </xdr:oneCellAnchor>
  <xdr:twoCellAnchor editAs="oneCell">
    <xdr:from>
      <xdr:col>18</xdr:col>
      <xdr:colOff>321204</xdr:colOff>
      <xdr:row>6</xdr:row>
      <xdr:rowOff>9525</xdr:rowOff>
    </xdr:from>
    <xdr:to>
      <xdr:col>21</xdr:col>
      <xdr:colOff>340254</xdr:colOff>
      <xdr:row>11</xdr:row>
      <xdr:rowOff>-1</xdr:rowOff>
    </xdr:to>
    <mc:AlternateContent xmlns:mc="http://schemas.openxmlformats.org/markup-compatibility/2006" xmlns:a14="http://schemas.microsoft.com/office/drawing/2010/main">
      <mc:Choice Requires="a14">
        <xdr:graphicFrame macro="">
          <xdr:nvGraphicFramePr>
            <xdr:cNvPr id="54" name="Region 1">
              <a:extLst>
                <a:ext uri="{FF2B5EF4-FFF2-40B4-BE49-F238E27FC236}">
                  <a16:creationId xmlns:a16="http://schemas.microsoft.com/office/drawing/2014/main" id="{34999A77-BF63-42CD-8AE0-37C9525CAFA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274954" y="1120775"/>
              <a:ext cx="1844675" cy="9165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142875</xdr:colOff>
      <xdr:row>8</xdr:row>
      <xdr:rowOff>9525</xdr:rowOff>
    </xdr:from>
    <xdr:ext cx="771525" cy="409575"/>
    <xdr:sp macro="" textlink="">
      <xdr:nvSpPr>
        <xdr:cNvPr id="55" name="TextBox 54">
          <a:extLst>
            <a:ext uri="{FF2B5EF4-FFF2-40B4-BE49-F238E27FC236}">
              <a16:creationId xmlns:a16="http://schemas.microsoft.com/office/drawing/2014/main" id="{78448D57-058C-A408-2AF2-009D44C62079}"/>
            </a:ext>
          </a:extLst>
        </xdr:cNvPr>
        <xdr:cNvSpPr txBox="1"/>
      </xdr:nvSpPr>
      <xdr:spPr>
        <a:xfrm>
          <a:off x="752475" y="1533525"/>
          <a:ext cx="771525" cy="409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twoCellAnchor editAs="oneCell">
    <xdr:from>
      <xdr:col>0</xdr:col>
      <xdr:colOff>220134</xdr:colOff>
      <xdr:row>6</xdr:row>
      <xdr:rowOff>148167</xdr:rowOff>
    </xdr:from>
    <xdr:to>
      <xdr:col>1</xdr:col>
      <xdr:colOff>286808</xdr:colOff>
      <xdr:row>10</xdr:row>
      <xdr:rowOff>62443</xdr:rowOff>
    </xdr:to>
    <xdr:pic>
      <xdr:nvPicPr>
        <xdr:cNvPr id="57" name="Graphic 56" descr="Dollar">
          <a:extLst>
            <a:ext uri="{FF2B5EF4-FFF2-40B4-BE49-F238E27FC236}">
              <a16:creationId xmlns:a16="http://schemas.microsoft.com/office/drawing/2014/main" id="{FABCE1C7-3295-2895-FA7C-1ECB64420F6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20134" y="1259417"/>
          <a:ext cx="675216" cy="655109"/>
        </a:xfrm>
        <a:prstGeom prst="rect">
          <a:avLst/>
        </a:prstGeom>
      </xdr:spPr>
    </xdr:pic>
    <xdr:clientData/>
  </xdr:twoCellAnchor>
  <xdr:twoCellAnchor editAs="oneCell">
    <xdr:from>
      <xdr:col>4</xdr:col>
      <xdr:colOff>546629</xdr:colOff>
      <xdr:row>6</xdr:row>
      <xdr:rowOff>87313</xdr:rowOff>
    </xdr:from>
    <xdr:to>
      <xdr:col>6</xdr:col>
      <xdr:colOff>52388</xdr:colOff>
      <xdr:row>10</xdr:row>
      <xdr:rowOff>49214</xdr:rowOff>
    </xdr:to>
    <xdr:pic>
      <xdr:nvPicPr>
        <xdr:cNvPr id="59" name="Graphic 58" descr="Euro">
          <a:extLst>
            <a:ext uri="{FF2B5EF4-FFF2-40B4-BE49-F238E27FC236}">
              <a16:creationId xmlns:a16="http://schemas.microsoft.com/office/drawing/2014/main" id="{7D0CA001-35FE-F6EE-B756-4AAD0AD8DD2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980796" y="1198563"/>
          <a:ext cx="722842" cy="702734"/>
        </a:xfrm>
        <a:prstGeom prst="rect">
          <a:avLst/>
        </a:prstGeom>
      </xdr:spPr>
    </xdr:pic>
    <xdr:clientData/>
  </xdr:twoCellAnchor>
  <xdr:twoCellAnchor editAs="oneCell">
    <xdr:from>
      <xdr:col>9</xdr:col>
      <xdr:colOff>256892</xdr:colOff>
      <xdr:row>6</xdr:row>
      <xdr:rowOff>16650</xdr:rowOff>
    </xdr:from>
    <xdr:to>
      <xdr:col>10</xdr:col>
      <xdr:colOff>477308</xdr:colOff>
      <xdr:row>10</xdr:row>
      <xdr:rowOff>85726</xdr:rowOff>
    </xdr:to>
    <xdr:pic>
      <xdr:nvPicPr>
        <xdr:cNvPr id="61" name="Graphic 60" descr="Money">
          <a:extLst>
            <a:ext uri="{FF2B5EF4-FFF2-40B4-BE49-F238E27FC236}">
              <a16:creationId xmlns:a16="http://schemas.microsoft.com/office/drawing/2014/main" id="{27DF559B-BAD5-0E44-DF13-79D0CB75A2E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33767" y="1127900"/>
          <a:ext cx="828958" cy="809909"/>
        </a:xfrm>
        <a:prstGeom prst="rect">
          <a:avLst/>
        </a:prstGeom>
      </xdr:spPr>
    </xdr:pic>
    <xdr:clientData/>
  </xdr:twoCellAnchor>
  <xdr:twoCellAnchor editAs="oneCell">
    <xdr:from>
      <xdr:col>14</xdr:col>
      <xdr:colOff>141779</xdr:colOff>
      <xdr:row>6</xdr:row>
      <xdr:rowOff>86216</xdr:rowOff>
    </xdr:from>
    <xdr:to>
      <xdr:col>15</xdr:col>
      <xdr:colOff>365654</xdr:colOff>
      <xdr:row>10</xdr:row>
      <xdr:rowOff>157692</xdr:rowOff>
    </xdr:to>
    <xdr:pic>
      <xdr:nvPicPr>
        <xdr:cNvPr id="63" name="Graphic 62" descr="Coins">
          <a:extLst>
            <a:ext uri="{FF2B5EF4-FFF2-40B4-BE49-F238E27FC236}">
              <a16:creationId xmlns:a16="http://schemas.microsoft.com/office/drawing/2014/main" id="{76CA32DB-2150-B012-E6CF-DFFE2E0502E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661362" y="1197466"/>
          <a:ext cx="832417" cy="812309"/>
        </a:xfrm>
        <a:prstGeom prst="rect">
          <a:avLst/>
        </a:prstGeom>
      </xdr:spPr>
    </xdr:pic>
    <xdr:clientData/>
  </xdr:twoCellAnchor>
  <xdr:twoCellAnchor editAs="oneCell">
    <xdr:from>
      <xdr:col>0</xdr:col>
      <xdr:colOff>92604</xdr:colOff>
      <xdr:row>12</xdr:row>
      <xdr:rowOff>40215</xdr:rowOff>
    </xdr:from>
    <xdr:to>
      <xdr:col>3</xdr:col>
      <xdr:colOff>92604</xdr:colOff>
      <xdr:row>26</xdr:row>
      <xdr:rowOff>158749</xdr:rowOff>
    </xdr:to>
    <mc:AlternateContent xmlns:mc="http://schemas.openxmlformats.org/markup-compatibility/2006" xmlns:a14="http://schemas.microsoft.com/office/drawing/2010/main">
      <mc:Choice Requires="a14">
        <xdr:graphicFrame macro="">
          <xdr:nvGraphicFramePr>
            <xdr:cNvPr id="64" name="Product 1">
              <a:extLst>
                <a:ext uri="{FF2B5EF4-FFF2-40B4-BE49-F238E27FC236}">
                  <a16:creationId xmlns:a16="http://schemas.microsoft.com/office/drawing/2014/main" id="{59024BBB-6FF5-4D65-97B8-F2A8DA477E15}"/>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92604" y="2262715"/>
              <a:ext cx="1825625" cy="27114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62443</xdr:colOff>
      <xdr:row>28</xdr:row>
      <xdr:rowOff>128588</xdr:rowOff>
    </xdr:from>
    <xdr:to>
      <xdr:col>3</xdr:col>
      <xdr:colOff>44451</xdr:colOff>
      <xdr:row>42</xdr:row>
      <xdr:rowOff>166687</xdr:rowOff>
    </xdr:to>
    <mc:AlternateContent xmlns:mc="http://schemas.openxmlformats.org/markup-compatibility/2006" xmlns:a14="http://schemas.microsoft.com/office/drawing/2010/main">
      <mc:Choice Requires="a14">
        <xdr:graphicFrame macro="">
          <xdr:nvGraphicFramePr>
            <xdr:cNvPr id="65" name="Sales Person 1">
              <a:extLst>
                <a:ext uri="{FF2B5EF4-FFF2-40B4-BE49-F238E27FC236}">
                  <a16:creationId xmlns:a16="http://schemas.microsoft.com/office/drawing/2014/main" id="{4F9753B9-DFD9-41A9-BFD3-8B04BF1E444A}"/>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62443" y="5314421"/>
              <a:ext cx="1807633" cy="26310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341841</xdr:colOff>
      <xdr:row>11</xdr:row>
      <xdr:rowOff>117494</xdr:rowOff>
    </xdr:from>
    <xdr:to>
      <xdr:col>12</xdr:col>
      <xdr:colOff>410104</xdr:colOff>
      <xdr:row>26</xdr:row>
      <xdr:rowOff>145521</xdr:rowOff>
    </xdr:to>
    <xdr:grpSp>
      <xdr:nvGrpSpPr>
        <xdr:cNvPr id="75" name="Group 74">
          <a:extLst>
            <a:ext uri="{FF2B5EF4-FFF2-40B4-BE49-F238E27FC236}">
              <a16:creationId xmlns:a16="http://schemas.microsoft.com/office/drawing/2014/main" id="{C8473D86-0B6A-2901-CCF4-45EBA1167BCE}"/>
            </a:ext>
          </a:extLst>
        </xdr:cNvPr>
        <xdr:cNvGrpSpPr/>
      </xdr:nvGrpSpPr>
      <xdr:grpSpPr>
        <a:xfrm>
          <a:off x="2172427" y="2245736"/>
          <a:ext cx="5560021" cy="2930176"/>
          <a:chOff x="2552700" y="2476501"/>
          <a:chExt cx="6010275" cy="3048000"/>
        </a:xfrm>
      </xdr:grpSpPr>
      <xdr:sp macro="" textlink="">
        <xdr:nvSpPr>
          <xdr:cNvPr id="68" name="Rectangle: Diagonal Corners Rounded 67">
            <a:extLst>
              <a:ext uri="{FF2B5EF4-FFF2-40B4-BE49-F238E27FC236}">
                <a16:creationId xmlns:a16="http://schemas.microsoft.com/office/drawing/2014/main" id="{794C4E6B-A547-6A17-8255-0FF075C48112}"/>
              </a:ext>
            </a:extLst>
          </xdr:cNvPr>
          <xdr:cNvSpPr/>
        </xdr:nvSpPr>
        <xdr:spPr>
          <a:xfrm>
            <a:off x="2552700" y="2476501"/>
            <a:ext cx="6010275" cy="3048000"/>
          </a:xfrm>
          <a:prstGeom prst="round2DiagRect">
            <a:avLst/>
          </a:prstGeom>
          <a:solidFill>
            <a:schemeClr val="bg1"/>
          </a:solidFill>
          <a:ln w="38100">
            <a:solidFill>
              <a:schemeClr val="bg1">
                <a:lumMod val="75000"/>
              </a:schemeClr>
            </a:solidFill>
          </a:ln>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r>
              <a:rPr lang="en-US" sz="3200" b="1" i="0" cap="none" spc="0">
                <a:ln w="9525">
                  <a:solidFill>
                    <a:schemeClr val="bg1"/>
                  </a:solidFill>
                  <a:prstDash val="solid"/>
                </a:ln>
                <a:solidFill>
                  <a:schemeClr val="tx1"/>
                </a:solidFill>
                <a:effectLst>
                  <a:outerShdw blurRad="12700" dist="38100" dir="2700000" algn="tl" rotWithShape="0">
                    <a:schemeClr val="bg1">
                      <a:lumMod val="50000"/>
                    </a:schemeClr>
                  </a:outerShdw>
                </a:effectLst>
              </a:rPr>
              <a:t>                                                    </a:t>
            </a:r>
          </a:p>
        </xdr:txBody>
      </xdr:sp>
      <xdr:graphicFrame macro="">
        <xdr:nvGraphicFramePr>
          <xdr:cNvPr id="71" name="Chart 70">
            <a:extLst>
              <a:ext uri="{FF2B5EF4-FFF2-40B4-BE49-F238E27FC236}">
                <a16:creationId xmlns:a16="http://schemas.microsoft.com/office/drawing/2014/main" id="{B48AF667-5FA3-473C-844F-A7AF99C82442}"/>
              </a:ext>
            </a:extLst>
          </xdr:cNvPr>
          <xdr:cNvGraphicFramePr>
            <a:graphicFrameLocks/>
          </xdr:cNvGraphicFramePr>
        </xdr:nvGraphicFramePr>
        <xdr:xfrm>
          <a:off x="2755946" y="2639429"/>
          <a:ext cx="5623140" cy="2653307"/>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12</xdr:col>
      <xdr:colOff>582083</xdr:colOff>
      <xdr:row>11</xdr:row>
      <xdr:rowOff>94720</xdr:rowOff>
    </xdr:from>
    <xdr:to>
      <xdr:col>21</xdr:col>
      <xdr:colOff>529167</xdr:colOff>
      <xdr:row>26</xdr:row>
      <xdr:rowOff>132291</xdr:rowOff>
    </xdr:to>
    <xdr:grpSp>
      <xdr:nvGrpSpPr>
        <xdr:cNvPr id="76" name="Group 75">
          <a:extLst>
            <a:ext uri="{FF2B5EF4-FFF2-40B4-BE49-F238E27FC236}">
              <a16:creationId xmlns:a16="http://schemas.microsoft.com/office/drawing/2014/main" id="{7586A7C5-C91F-2680-0840-8054F94FA637}"/>
            </a:ext>
          </a:extLst>
        </xdr:cNvPr>
        <xdr:cNvGrpSpPr/>
      </xdr:nvGrpSpPr>
      <xdr:grpSpPr>
        <a:xfrm>
          <a:off x="7904427" y="2222962"/>
          <a:ext cx="5438842" cy="2939720"/>
          <a:chOff x="8982075" y="2429272"/>
          <a:chExt cx="4876799" cy="3028950"/>
        </a:xfrm>
      </xdr:grpSpPr>
      <xdr:sp macro="" textlink="">
        <xdr:nvSpPr>
          <xdr:cNvPr id="73" name="Rectangle: Diagonal Corners Rounded 72">
            <a:extLst>
              <a:ext uri="{FF2B5EF4-FFF2-40B4-BE49-F238E27FC236}">
                <a16:creationId xmlns:a16="http://schemas.microsoft.com/office/drawing/2014/main" id="{FC568628-5CAE-4DB2-A90C-357CDD6CE7CD}"/>
              </a:ext>
            </a:extLst>
          </xdr:cNvPr>
          <xdr:cNvSpPr/>
        </xdr:nvSpPr>
        <xdr:spPr>
          <a:xfrm>
            <a:off x="8982075" y="2429272"/>
            <a:ext cx="4876799" cy="3028950"/>
          </a:xfrm>
          <a:prstGeom prst="round2DiagRect">
            <a:avLst/>
          </a:prstGeom>
          <a:solidFill>
            <a:schemeClr val="bg1"/>
          </a:solidFill>
          <a:ln w="38100">
            <a:solidFill>
              <a:schemeClr val="bg1">
                <a:lumMod val="75000"/>
              </a:schemeClr>
            </a:solidFill>
          </a:ln>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r>
              <a:rPr lang="en-US" sz="3200" b="1" i="0" cap="none" spc="0">
                <a:ln w="9525">
                  <a:solidFill>
                    <a:schemeClr val="bg1"/>
                  </a:solidFill>
                  <a:prstDash val="solid"/>
                </a:ln>
                <a:solidFill>
                  <a:schemeClr val="tx1"/>
                </a:solidFill>
                <a:effectLst>
                  <a:outerShdw blurRad="12700" dist="38100" dir="2700000" algn="tl" rotWithShape="0">
                    <a:schemeClr val="bg1">
                      <a:lumMod val="50000"/>
                    </a:schemeClr>
                  </a:outerShdw>
                </a:effectLst>
              </a:rPr>
              <a:t>                                                    </a:t>
            </a:r>
          </a:p>
        </xdr:txBody>
      </xdr:sp>
      <xdr:graphicFrame macro="">
        <xdr:nvGraphicFramePr>
          <xdr:cNvPr id="74" name="Chart 73">
            <a:extLst>
              <a:ext uri="{FF2B5EF4-FFF2-40B4-BE49-F238E27FC236}">
                <a16:creationId xmlns:a16="http://schemas.microsoft.com/office/drawing/2014/main" id="{E7C0CCF9-3208-445A-A8BC-3511DA55CCBF}"/>
              </a:ext>
            </a:extLst>
          </xdr:cNvPr>
          <xdr:cNvGraphicFramePr>
            <a:graphicFrameLocks/>
          </xdr:cNvGraphicFramePr>
        </xdr:nvGraphicFramePr>
        <xdr:xfrm>
          <a:off x="9077325" y="2702643"/>
          <a:ext cx="4610100" cy="2525946"/>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3</xdr:col>
      <xdr:colOff>368299</xdr:colOff>
      <xdr:row>28</xdr:row>
      <xdr:rowOff>13230</xdr:rowOff>
    </xdr:from>
    <xdr:to>
      <xdr:col>12</xdr:col>
      <xdr:colOff>449791</xdr:colOff>
      <xdr:row>42</xdr:row>
      <xdr:rowOff>119063</xdr:rowOff>
    </xdr:to>
    <xdr:sp macro="" textlink="">
      <xdr:nvSpPr>
        <xdr:cNvPr id="77" name="Rectangle: Diagonal Corners Rounded 76">
          <a:extLst>
            <a:ext uri="{FF2B5EF4-FFF2-40B4-BE49-F238E27FC236}">
              <a16:creationId xmlns:a16="http://schemas.microsoft.com/office/drawing/2014/main" id="{11B0BAF1-E9C1-478F-B4A8-69F621B4EEF4}"/>
            </a:ext>
          </a:extLst>
        </xdr:cNvPr>
        <xdr:cNvSpPr/>
      </xdr:nvSpPr>
      <xdr:spPr>
        <a:xfrm>
          <a:off x="2193924" y="5199063"/>
          <a:ext cx="5558367" cy="2698750"/>
        </a:xfrm>
        <a:prstGeom prst="round2DiagRect">
          <a:avLst>
            <a:gd name="adj1" fmla="val 16667"/>
            <a:gd name="adj2" fmla="val 6736"/>
          </a:avLst>
        </a:prstGeom>
        <a:solidFill>
          <a:schemeClr val="bg1"/>
        </a:solidFill>
        <a:ln w="38100">
          <a:solidFill>
            <a:schemeClr val="bg1">
              <a:lumMod val="75000"/>
            </a:schemeClr>
          </a:solidFill>
        </a:ln>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r>
            <a:rPr lang="en-US" sz="3200" b="1" i="0" cap="none" spc="0">
              <a:ln w="9525">
                <a:solidFill>
                  <a:schemeClr val="bg1"/>
                </a:solidFill>
                <a:prstDash val="solid"/>
              </a:ln>
              <a:solidFill>
                <a:schemeClr val="tx1"/>
              </a:solidFill>
              <a:effectLst>
                <a:outerShdw blurRad="12700" dist="38100" dir="2700000" algn="tl" rotWithShape="0">
                  <a:schemeClr val="bg1">
                    <a:lumMod val="50000"/>
                  </a:schemeClr>
                </a:outerShdw>
              </a:effectLst>
            </a:rPr>
            <a:t>                                                    </a:t>
          </a:r>
        </a:p>
      </xdr:txBody>
    </xdr:sp>
    <xdr:clientData/>
  </xdr:twoCellAnchor>
  <xdr:twoCellAnchor>
    <xdr:from>
      <xdr:col>4</xdr:col>
      <xdr:colOff>119062</xdr:colOff>
      <xdr:row>29</xdr:row>
      <xdr:rowOff>26458</xdr:rowOff>
    </xdr:from>
    <xdr:to>
      <xdr:col>12</xdr:col>
      <xdr:colOff>13229</xdr:colOff>
      <xdr:row>41</xdr:row>
      <xdr:rowOff>39688</xdr:rowOff>
    </xdr:to>
    <xdr:graphicFrame macro="">
      <xdr:nvGraphicFramePr>
        <xdr:cNvPr id="78" name="Chart 77">
          <a:extLst>
            <a:ext uri="{FF2B5EF4-FFF2-40B4-BE49-F238E27FC236}">
              <a16:creationId xmlns:a16="http://schemas.microsoft.com/office/drawing/2014/main" id="{17DF13DB-6833-4831-B6EC-4000C686B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603250</xdr:colOff>
      <xdr:row>27</xdr:row>
      <xdr:rowOff>171979</xdr:rowOff>
    </xdr:from>
    <xdr:to>
      <xdr:col>21</xdr:col>
      <xdr:colOff>502708</xdr:colOff>
      <xdr:row>42</xdr:row>
      <xdr:rowOff>55035</xdr:rowOff>
    </xdr:to>
    <xdr:sp macro="" textlink="">
      <xdr:nvSpPr>
        <xdr:cNvPr id="79" name="Rectangle: Diagonal Corners Rounded 78">
          <a:extLst>
            <a:ext uri="{FF2B5EF4-FFF2-40B4-BE49-F238E27FC236}">
              <a16:creationId xmlns:a16="http://schemas.microsoft.com/office/drawing/2014/main" id="{54A212D2-1DAA-43BF-BECA-21183A2A683C}"/>
            </a:ext>
          </a:extLst>
        </xdr:cNvPr>
        <xdr:cNvSpPr/>
      </xdr:nvSpPr>
      <xdr:spPr>
        <a:xfrm>
          <a:off x="7905750" y="5172604"/>
          <a:ext cx="5376333" cy="2661181"/>
        </a:xfrm>
        <a:prstGeom prst="round2DiagRect">
          <a:avLst/>
        </a:prstGeom>
        <a:solidFill>
          <a:schemeClr val="bg1"/>
        </a:solidFill>
        <a:ln w="38100">
          <a:solidFill>
            <a:schemeClr val="bg1">
              <a:lumMod val="75000"/>
            </a:schemeClr>
          </a:solidFill>
        </a:ln>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r>
            <a:rPr lang="en-US" sz="3200" b="1" i="0" cap="none" spc="0">
              <a:ln w="9525">
                <a:solidFill>
                  <a:schemeClr val="bg1"/>
                </a:solidFill>
                <a:prstDash val="solid"/>
              </a:ln>
              <a:solidFill>
                <a:schemeClr val="tx1"/>
              </a:solidFill>
              <a:effectLst>
                <a:outerShdw blurRad="12700" dist="38100" dir="2700000" algn="tl" rotWithShape="0">
                  <a:schemeClr val="bg1">
                    <a:lumMod val="50000"/>
                  </a:schemeClr>
                </a:outerShdw>
              </a:effectLst>
            </a:rPr>
            <a:t>                                                    </a:t>
          </a:r>
        </a:p>
      </xdr:txBody>
    </xdr:sp>
    <xdr:clientData/>
  </xdr:twoCellAnchor>
  <xdr:twoCellAnchor>
    <xdr:from>
      <xdr:col>13</xdr:col>
      <xdr:colOff>132291</xdr:colOff>
      <xdr:row>29</xdr:row>
      <xdr:rowOff>92604</xdr:rowOff>
    </xdr:from>
    <xdr:to>
      <xdr:col>21</xdr:col>
      <xdr:colOff>317501</xdr:colOff>
      <xdr:row>41</xdr:row>
      <xdr:rowOff>92604</xdr:rowOff>
    </xdr:to>
    <xdr:graphicFrame macro="">
      <xdr:nvGraphicFramePr>
        <xdr:cNvPr id="80" name="Chart 79">
          <a:extLst>
            <a:ext uri="{FF2B5EF4-FFF2-40B4-BE49-F238E27FC236}">
              <a16:creationId xmlns:a16="http://schemas.microsoft.com/office/drawing/2014/main" id="{7C73A3B9-8E91-4DF2-B16C-C50590D13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CY" refreshedDate="46189.962358449076" createdVersion="8" refreshedVersion="8" minRefreshableVersion="3" recordCount="50" xr:uid="{CB3CA3F5-484E-4330-89C3-B5D69A45550D}">
  <cacheSource type="worksheet">
    <worksheetSource ref="A1:I51" sheet="SalesData"/>
  </cacheSource>
  <cacheFields count="9">
    <cacheField name="Date" numFmtId="14">
      <sharedItems containsSemiMixedTypes="0" containsNonDate="0" containsDate="1" containsString="0" minDate="2020-05-07T00:00:00" maxDate="2021-12-22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acheField>
    <cacheField name="Unit Price" numFmtId="164">
      <sharedItems containsSemiMixedTypes="0" containsString="0" containsNumber="1" containsInteger="1" minValue="600" maxValue="10000"/>
    </cacheField>
    <cacheField name="Cost of Goods" numFmtId="164">
      <sharedItems containsSemiMixedTypes="0" containsString="0" containsNumber="1" containsInteger="1" minValue="400" maxValue="7000"/>
    </cacheField>
    <cacheField name="Total Sales" numFmtId="164">
      <sharedItems containsSemiMixedTypes="0" containsString="0" containsNumber="1" containsInteger="1" minValue="34200" maxValue="1270000"/>
    </cacheField>
    <cacheField name="profit" numFmtId="0">
      <sharedItems/>
    </cacheField>
  </cacheFields>
  <extLst>
    <ext xmlns:x14="http://schemas.microsoft.com/office/spreadsheetml/2009/9/main" uri="{725AE2AE-9491-48be-B2B4-4EB974FC3084}">
      <x14:pivotCacheDefinition pivotCacheId="20517294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CY" refreshedDate="46189.974401273146" createdVersion="8" refreshedVersion="8" minRefreshableVersion="3" recordCount="8" xr:uid="{3B5737CD-54AC-48A1-9DCF-F640DFD0466B}">
  <cacheSource type="worksheet">
    <worksheetSource ref="D3:E11" sheet="Sheet1"/>
  </cacheSource>
  <cacheFields count="2">
    <cacheField name="Row Labels" numFmtId="0">
      <sharedItems/>
    </cacheField>
    <cacheField name="Sum of Total Sales" numFmtId="164">
      <sharedItems containsSemiMixedTypes="0" containsString="0" containsNumber="1" containsInteger="1" minValue="547200" maxValue="129445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CY" refreshedDate="46189.980285300924" createdVersion="8" refreshedVersion="8" minRefreshableVersion="3" recordCount="11" xr:uid="{3922C6C0-4DD4-4198-BA2F-840F283C3A27}">
  <cacheSource type="worksheet">
    <worksheetSource ref="H2:I13" sheet="Sheet1"/>
  </cacheSource>
  <cacheFields count="2">
    <cacheField name="Row Labels" numFmtId="0">
      <sharedItems/>
    </cacheField>
    <cacheField name="Sum of Total Sales" numFmtId="164">
      <sharedItems containsSemiMixedTypes="0" containsString="0" containsNumber="1" containsInteger="1" minValue="578500" maxValue="129445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1-02-19T00:00:00"/>
    <x v="0"/>
    <x v="0"/>
    <x v="0"/>
    <n v="84"/>
    <n v="6000"/>
    <n v="4000"/>
    <n v="504000"/>
    <s v="RS. 1,68,000"/>
  </r>
  <r>
    <d v="2021-09-07T00:00:00"/>
    <x v="1"/>
    <x v="1"/>
    <x v="1"/>
    <n v="128"/>
    <n v="3500"/>
    <n v="2500"/>
    <n v="448000"/>
    <s v="RS. 1,28,000"/>
  </r>
  <r>
    <d v="2021-02-03T00:00:00"/>
    <x v="2"/>
    <x v="2"/>
    <x v="2"/>
    <n v="136"/>
    <n v="1200"/>
    <n v="800"/>
    <n v="163200"/>
    <s v="RS. 54,400"/>
  </r>
  <r>
    <d v="2020-09-11T00:00:00"/>
    <x v="3"/>
    <x v="3"/>
    <x v="3"/>
    <n v="91"/>
    <n v="1000"/>
    <n v="700"/>
    <n v="91000"/>
    <s v="RS. 27,300"/>
  </r>
  <r>
    <d v="2021-09-23T00:00:00"/>
    <x v="4"/>
    <x v="0"/>
    <x v="4"/>
    <n v="110"/>
    <n v="4000"/>
    <n v="3000"/>
    <n v="440000"/>
    <s v="RS.1,10,000"/>
  </r>
  <r>
    <d v="2020-10-01T00:00:00"/>
    <x v="5"/>
    <x v="1"/>
    <x v="2"/>
    <n v="51"/>
    <n v="1200"/>
    <n v="800"/>
    <n v="61200"/>
    <s v="RS.20,400"/>
  </r>
  <r>
    <d v="2021-08-05T00:00:00"/>
    <x v="6"/>
    <x v="3"/>
    <x v="3"/>
    <n v="78"/>
    <n v="1000"/>
    <n v="700"/>
    <n v="78000"/>
    <s v="RS.23,400"/>
  </r>
  <r>
    <d v="2020-11-06T00:00:00"/>
    <x v="7"/>
    <x v="2"/>
    <x v="0"/>
    <n v="146"/>
    <n v="6000"/>
    <n v="4000"/>
    <n v="876000"/>
    <s v="RS.2,92,000"/>
  </r>
  <r>
    <d v="2021-01-27T00:00:00"/>
    <x v="8"/>
    <x v="0"/>
    <x v="5"/>
    <n v="101"/>
    <n v="600"/>
    <n v="400"/>
    <n v="60600"/>
    <s v="RS.20,200"/>
  </r>
  <r>
    <d v="2021-09-03T00:00:00"/>
    <x v="9"/>
    <x v="2"/>
    <x v="0"/>
    <n v="52"/>
    <n v="6000"/>
    <n v="4000"/>
    <n v="312000"/>
    <s v="RS.1,04,000"/>
  </r>
  <r>
    <d v="2021-09-30T00:00:00"/>
    <x v="9"/>
    <x v="1"/>
    <x v="2"/>
    <n v="55"/>
    <n v="1200"/>
    <n v="800"/>
    <n v="66000"/>
    <s v="RS.22,000"/>
  </r>
  <r>
    <d v="2020-09-10T00:00:00"/>
    <x v="9"/>
    <x v="2"/>
    <x v="3"/>
    <n v="137"/>
    <n v="1000"/>
    <n v="700"/>
    <n v="137000"/>
    <s v="RS.41,00"/>
  </r>
  <r>
    <d v="2021-07-27T00:00:00"/>
    <x v="7"/>
    <x v="2"/>
    <x v="1"/>
    <n v="96"/>
    <n v="3500"/>
    <n v="2500"/>
    <n v="336000"/>
    <s v="RS.41,01"/>
  </r>
  <r>
    <d v="2020-10-09T00:00:00"/>
    <x v="8"/>
    <x v="1"/>
    <x v="4"/>
    <n v="52"/>
    <n v="4000"/>
    <n v="3000"/>
    <n v="208000"/>
    <s v="RS.41,02"/>
  </r>
  <r>
    <d v="2021-04-06T00:00:00"/>
    <x v="3"/>
    <x v="0"/>
    <x v="1"/>
    <n v="76"/>
    <n v="3500"/>
    <n v="2500"/>
    <n v="266000"/>
    <s v="RS.41,03"/>
  </r>
  <r>
    <d v="2021-06-15T00:00:00"/>
    <x v="1"/>
    <x v="3"/>
    <x v="4"/>
    <n v="145"/>
    <n v="4000"/>
    <n v="3000"/>
    <n v="580000"/>
    <s v="RS.41,04"/>
  </r>
  <r>
    <d v="2020-09-09T00:00:00"/>
    <x v="0"/>
    <x v="2"/>
    <x v="5"/>
    <n v="83"/>
    <n v="600"/>
    <n v="400"/>
    <n v="49800"/>
    <s v="RS.41,05"/>
  </r>
  <r>
    <d v="2021-08-13T00:00:00"/>
    <x v="4"/>
    <x v="2"/>
    <x v="3"/>
    <n v="91"/>
    <n v="1000"/>
    <n v="700"/>
    <n v="91000"/>
    <s v="RS.41,06"/>
  </r>
  <r>
    <d v="2020-08-27T00:00:00"/>
    <x v="5"/>
    <x v="0"/>
    <x v="6"/>
    <n v="108"/>
    <n v="10000"/>
    <n v="7000"/>
    <n v="1080000"/>
    <s v="RS.41,07"/>
  </r>
  <r>
    <d v="2021-04-07T00:00:00"/>
    <x v="2"/>
    <x v="3"/>
    <x v="4"/>
    <n v="144"/>
    <n v="4000"/>
    <n v="3000"/>
    <n v="576000"/>
    <s v="RS.41,08"/>
  </r>
  <r>
    <d v="2020-06-08T00:00:00"/>
    <x v="4"/>
    <x v="2"/>
    <x v="5"/>
    <n v="92"/>
    <n v="600"/>
    <n v="400"/>
    <n v="55200"/>
    <s v="RS.41,09"/>
  </r>
  <r>
    <d v="2021-12-21T00:00:00"/>
    <x v="7"/>
    <x v="0"/>
    <x v="0"/>
    <n v="71"/>
    <n v="6000"/>
    <n v="4000"/>
    <n v="426000"/>
    <s v="RS.41,10"/>
  </r>
  <r>
    <d v="2021-08-10T00:00:00"/>
    <x v="0"/>
    <x v="1"/>
    <x v="5"/>
    <n v="103"/>
    <n v="600"/>
    <n v="400"/>
    <n v="61800"/>
    <s v="RS.41,11"/>
  </r>
  <r>
    <d v="2021-12-02T00:00:00"/>
    <x v="9"/>
    <x v="3"/>
    <x v="3"/>
    <n v="55"/>
    <n v="1000"/>
    <n v="700"/>
    <n v="55000"/>
    <s v="RS.41,12"/>
  </r>
  <r>
    <d v="2021-08-30T00:00:00"/>
    <x v="5"/>
    <x v="1"/>
    <x v="4"/>
    <n v="93"/>
    <n v="4000"/>
    <n v="3000"/>
    <n v="372000"/>
    <s v="RS.41,13"/>
  </r>
  <r>
    <d v="2020-05-20T00:00:00"/>
    <x v="2"/>
    <x v="2"/>
    <x v="5"/>
    <n v="143"/>
    <n v="600"/>
    <n v="400"/>
    <n v="85800"/>
    <s v="RS.41,14"/>
  </r>
  <r>
    <d v="2021-09-13T00:00:00"/>
    <x v="6"/>
    <x v="0"/>
    <x v="1"/>
    <n v="143"/>
    <n v="3500"/>
    <n v="2500"/>
    <n v="500500"/>
    <s v="RS.41,15"/>
  </r>
  <r>
    <d v="2021-10-27T00:00:00"/>
    <x v="8"/>
    <x v="3"/>
    <x v="5"/>
    <n v="99"/>
    <n v="600"/>
    <n v="400"/>
    <n v="59400"/>
    <s v="RS.41,16"/>
  </r>
  <r>
    <d v="2020-12-22T00:00:00"/>
    <x v="3"/>
    <x v="0"/>
    <x v="3"/>
    <n v="120"/>
    <n v="1000"/>
    <n v="700"/>
    <n v="120000"/>
    <s v="RS.41,17"/>
  </r>
  <r>
    <d v="2021-07-28T00:00:00"/>
    <x v="1"/>
    <x v="2"/>
    <x v="1"/>
    <n v="66"/>
    <n v="3500"/>
    <n v="2500"/>
    <n v="231000"/>
    <s v="RS.41,18"/>
  </r>
  <r>
    <d v="2020-09-29T00:00:00"/>
    <x v="8"/>
    <x v="3"/>
    <x v="2"/>
    <n v="88"/>
    <n v="1200"/>
    <n v="800"/>
    <n v="105600"/>
    <s v="RS.41,19"/>
  </r>
  <r>
    <d v="2020-10-22T00:00:00"/>
    <x v="3"/>
    <x v="1"/>
    <x v="6"/>
    <n v="127"/>
    <n v="10000"/>
    <n v="7000"/>
    <n v="1270000"/>
    <s v="RS.41,20"/>
  </r>
  <r>
    <d v="2020-05-19T00:00:00"/>
    <x v="4"/>
    <x v="0"/>
    <x v="4"/>
    <n v="67"/>
    <n v="4000"/>
    <n v="3000"/>
    <n v="268000"/>
    <s v="RS.41,21"/>
  </r>
  <r>
    <d v="2021-12-06T00:00:00"/>
    <x v="1"/>
    <x v="1"/>
    <x v="2"/>
    <n v="67"/>
    <n v="1200"/>
    <n v="800"/>
    <n v="80400"/>
    <s v="RS.41,22"/>
  </r>
  <r>
    <d v="2020-08-26T00:00:00"/>
    <x v="9"/>
    <x v="2"/>
    <x v="3"/>
    <n v="149"/>
    <n v="1000"/>
    <n v="700"/>
    <n v="149000"/>
    <s v="RS.41,23"/>
  </r>
  <r>
    <d v="2021-07-01T00:00:00"/>
    <x v="4"/>
    <x v="3"/>
    <x v="5"/>
    <n v="104"/>
    <n v="600"/>
    <n v="400"/>
    <n v="62400"/>
    <s v="RS.41,24"/>
  </r>
  <r>
    <d v="2021-07-27T00:00:00"/>
    <x v="7"/>
    <x v="0"/>
    <x v="5"/>
    <n v="57"/>
    <n v="600"/>
    <n v="400"/>
    <n v="34200"/>
    <s v="RS.41,25"/>
  </r>
  <r>
    <d v="2020-10-05T00:00:00"/>
    <x v="2"/>
    <x v="1"/>
    <x v="5"/>
    <n v="90"/>
    <n v="600"/>
    <n v="400"/>
    <n v="54000"/>
    <s v="RS.41,26"/>
  </r>
  <r>
    <d v="2020-09-02T00:00:00"/>
    <x v="5"/>
    <x v="2"/>
    <x v="5"/>
    <n v="67"/>
    <n v="600"/>
    <n v="400"/>
    <n v="40200"/>
    <s v="RS.41,27"/>
  </r>
  <r>
    <d v="2021-09-02T00:00:00"/>
    <x v="0"/>
    <x v="3"/>
    <x v="4"/>
    <n v="127"/>
    <n v="4000"/>
    <n v="3000"/>
    <n v="508000"/>
    <s v="RS.41,28"/>
  </r>
  <r>
    <d v="2021-04-13T00:00:00"/>
    <x v="5"/>
    <x v="0"/>
    <x v="3"/>
    <n v="108"/>
    <n v="1000"/>
    <n v="700"/>
    <n v="108000"/>
    <s v="RS.41,29"/>
  </r>
  <r>
    <d v="2021-05-06T00:00:00"/>
    <x v="2"/>
    <x v="1"/>
    <x v="1"/>
    <n v="66"/>
    <n v="3500"/>
    <n v="2500"/>
    <n v="231000"/>
    <s v="RS.41,30"/>
  </r>
  <r>
    <d v="2021-01-15T00:00:00"/>
    <x v="0"/>
    <x v="3"/>
    <x v="0"/>
    <n v="78"/>
    <n v="6000"/>
    <n v="4000"/>
    <n v="468000"/>
    <s v="RS.41,31"/>
  </r>
  <r>
    <d v="2020-08-27T00:00:00"/>
    <x v="7"/>
    <x v="2"/>
    <x v="3"/>
    <n v="69"/>
    <n v="1000"/>
    <n v="700"/>
    <n v="69000"/>
    <s v="RS.41,32"/>
  </r>
  <r>
    <d v="2021-02-05T00:00:00"/>
    <x v="4"/>
    <x v="0"/>
    <x v="2"/>
    <n v="59"/>
    <n v="1200"/>
    <n v="800"/>
    <n v="70800"/>
    <s v="RS.41,33"/>
  </r>
  <r>
    <d v="2021-11-17T00:00:00"/>
    <x v="9"/>
    <x v="2"/>
    <x v="5"/>
    <n v="109"/>
    <n v="600"/>
    <n v="400"/>
    <n v="65400"/>
    <s v="RS.41,34"/>
  </r>
  <r>
    <d v="2020-12-28T00:00:00"/>
    <x v="8"/>
    <x v="1"/>
    <x v="4"/>
    <n v="61"/>
    <n v="4000"/>
    <n v="3000"/>
    <n v="244000"/>
    <s v="RS.41,35"/>
  </r>
  <r>
    <d v="2021-10-27T00:00:00"/>
    <x v="4"/>
    <x v="3"/>
    <x v="5"/>
    <n v="130"/>
    <n v="600"/>
    <n v="400"/>
    <n v="78000"/>
    <s v="RS.41,36"/>
  </r>
  <r>
    <d v="2021-11-02T00:00:00"/>
    <x v="3"/>
    <x v="2"/>
    <x v="1"/>
    <n v="60"/>
    <n v="3500"/>
    <n v="2500"/>
    <n v="210000"/>
    <s v="RS.41,37"/>
  </r>
  <r>
    <d v="2020-05-07T00:00:00"/>
    <x v="1"/>
    <x v="1"/>
    <x v="0"/>
    <n v="73"/>
    <n v="6000"/>
    <n v="4000"/>
    <n v="438000"/>
    <s v="RS.41,3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s v="Action Figure"/>
    <n v="547200"/>
  </r>
  <r>
    <s v="Blender"/>
    <n v="2222500"/>
  </r>
  <r>
    <s v="Moisturizer"/>
    <n v="706800"/>
  </r>
  <r>
    <s v="Novel"/>
    <n v="898000"/>
  </r>
  <r>
    <s v="Smartphone"/>
    <n v="2350000"/>
  </r>
  <r>
    <s v="Sneakers"/>
    <n v="3196000"/>
  </r>
  <r>
    <s v="Tent"/>
    <n v="3024000"/>
  </r>
  <r>
    <s v="Grand Total"/>
    <n v="129445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Andrew"/>
    <n v="1591600"/>
  </r>
  <r>
    <s v="Anna"/>
    <n v="677600"/>
  </r>
  <r>
    <s v="Cameron"/>
    <n v="1957000"/>
  </r>
  <r>
    <s v="Carolyn"/>
    <n v="1661400"/>
  </r>
  <r>
    <s v="Connor"/>
    <n v="1741200"/>
  </r>
  <r>
    <s v="Ella"/>
    <n v="1110000"/>
  </r>
  <r>
    <s v="Grace"/>
    <n v="1777400"/>
  </r>
  <r>
    <s v="Megan"/>
    <n v="1065400"/>
  </r>
  <r>
    <s v="Nicholas"/>
    <n v="784400"/>
  </r>
  <r>
    <s v="Virginia"/>
    <n v="578500"/>
  </r>
  <r>
    <s v="Grand Total"/>
    <n v="12944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F1E082-F5FD-458F-BC91-711361F32310}"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
    <pivotField showAll="0"/>
    <pivotField numFmtId="164"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ABEFE2-F073-472E-B0D2-B156B6C75D25}"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20" firstHeaderRow="1" firstDataRow="1" firstDataCol="0"/>
  <pivotFields count="2">
    <pivotField showAll="0"/>
    <pivotField numFmtId="164"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BD46D6-902C-4213-B323-D25CA3AB735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2:I13" firstHeaderRow="1" firstDataRow="1" firstDataCol="1"/>
  <pivotFields count="9">
    <pivotField numFmtId="14" showAll="0"/>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showAll="0"/>
  </pivotFields>
  <rowFields count="1">
    <field x="1"/>
  </rowFields>
  <rowItems count="11">
    <i>
      <x/>
    </i>
    <i>
      <x v="1"/>
    </i>
    <i>
      <x v="2"/>
    </i>
    <i>
      <x v="3"/>
    </i>
    <i>
      <x v="4"/>
    </i>
    <i>
      <x v="5"/>
    </i>
    <i>
      <x v="6"/>
    </i>
    <i>
      <x v="7"/>
    </i>
    <i>
      <x v="8"/>
    </i>
    <i>
      <x v="9"/>
    </i>
    <i t="grand">
      <x/>
    </i>
  </rowItems>
  <colItems count="1">
    <i/>
  </colItems>
  <dataFields count="1">
    <dataField name="Sum of Total Sales" fld="7" baseField="0" baseItem="0" numFmtId="164"/>
  </dataFields>
  <chartFormats count="21">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3"/>
          </reference>
        </references>
      </pivotArea>
    </chartFormat>
    <chartFormat chart="1" format="1">
      <pivotArea type="data" outline="0" fieldPosition="0">
        <references count="2">
          <reference field="4294967294" count="1" selected="0">
            <x v="0"/>
          </reference>
          <reference field="1" count="1" selected="0">
            <x v="4"/>
          </reference>
        </references>
      </pivotArea>
    </chartFormat>
    <chartFormat chart="1" format="2">
      <pivotArea type="data" outline="0" fieldPosition="0">
        <references count="2">
          <reference field="4294967294" count="1" selected="0">
            <x v="0"/>
          </reference>
          <reference field="1" count="1" selected="0">
            <x v="6"/>
          </reference>
        </references>
      </pivotArea>
    </chartFormat>
    <chartFormat chart="1" format="3">
      <pivotArea type="data" outline="0" fieldPosition="0">
        <references count="2">
          <reference field="4294967294" count="1" selected="0">
            <x v="0"/>
          </reference>
          <reference field="1" count="1" selected="0">
            <x v="7"/>
          </reference>
        </references>
      </pivotArea>
    </chartFormat>
    <chartFormat chart="1" format="4">
      <pivotArea type="data" outline="0" fieldPosition="0">
        <references count="2">
          <reference field="4294967294" count="1" selected="0">
            <x v="0"/>
          </reference>
          <reference field="1" count="1" selected="0">
            <x v="8"/>
          </reference>
        </references>
      </pivotArea>
    </chartFormat>
    <chartFormat chart="1" format="5">
      <pivotArea type="data" outline="0" fieldPosition="0">
        <references count="2">
          <reference field="4294967294" count="1" selected="0">
            <x v="0"/>
          </reference>
          <reference field="1" count="1" selected="0">
            <x v="9"/>
          </reference>
        </references>
      </pivotArea>
    </chartFormat>
    <chartFormat chart="1" format="6">
      <pivotArea type="data" outline="0" fieldPosition="0">
        <references count="2">
          <reference field="4294967294" count="1" selected="0">
            <x v="0"/>
          </reference>
          <reference field="1" count="1" selected="0">
            <x v="2"/>
          </reference>
        </references>
      </pivotArea>
    </chartFormat>
    <chartFormat chart="1" format="7">
      <pivotArea type="data" outline="0" fieldPosition="0">
        <references count="2">
          <reference field="4294967294" count="1" selected="0">
            <x v="0"/>
          </reference>
          <reference field="1" count="1" selected="0">
            <x v="0"/>
          </reference>
        </references>
      </pivotArea>
    </chartFormat>
    <chartFormat chart="1" format="8">
      <pivotArea type="data" outline="0" fieldPosition="0">
        <references count="2">
          <reference field="4294967294" count="1" selected="0">
            <x v="0"/>
          </reference>
          <reference field="1" count="1" selected="0">
            <x v="1"/>
          </reference>
        </references>
      </pivotArea>
    </chartFormat>
    <chartFormat chart="5" format="19" series="1">
      <pivotArea type="data" outline="0" fieldPosition="0">
        <references count="1">
          <reference field="4294967294" count="1" selected="0">
            <x v="0"/>
          </reference>
        </references>
      </pivotArea>
    </chartFormat>
    <chartFormat chart="5" format="20">
      <pivotArea type="data" outline="0" fieldPosition="0">
        <references count="2">
          <reference field="4294967294" count="1" selected="0">
            <x v="0"/>
          </reference>
          <reference field="1" count="1" selected="0">
            <x v="0"/>
          </reference>
        </references>
      </pivotArea>
    </chartFormat>
    <chartFormat chart="5" format="21">
      <pivotArea type="data" outline="0" fieldPosition="0">
        <references count="2">
          <reference field="4294967294" count="1" selected="0">
            <x v="0"/>
          </reference>
          <reference field="1" count="1" selected="0">
            <x v="1"/>
          </reference>
        </references>
      </pivotArea>
    </chartFormat>
    <chartFormat chart="5" format="22">
      <pivotArea type="data" outline="0" fieldPosition="0">
        <references count="2">
          <reference field="4294967294" count="1" selected="0">
            <x v="0"/>
          </reference>
          <reference field="1" count="1" selected="0">
            <x v="2"/>
          </reference>
        </references>
      </pivotArea>
    </chartFormat>
    <chartFormat chart="5" format="23">
      <pivotArea type="data" outline="0" fieldPosition="0">
        <references count="2">
          <reference field="4294967294" count="1" selected="0">
            <x v="0"/>
          </reference>
          <reference field="1" count="1" selected="0">
            <x v="3"/>
          </reference>
        </references>
      </pivotArea>
    </chartFormat>
    <chartFormat chart="5" format="24">
      <pivotArea type="data" outline="0" fieldPosition="0">
        <references count="2">
          <reference field="4294967294" count="1" selected="0">
            <x v="0"/>
          </reference>
          <reference field="1" count="1" selected="0">
            <x v="4"/>
          </reference>
        </references>
      </pivotArea>
    </chartFormat>
    <chartFormat chart="5" format="25">
      <pivotArea type="data" outline="0" fieldPosition="0">
        <references count="2">
          <reference field="4294967294" count="1" selected="0">
            <x v="0"/>
          </reference>
          <reference field="1" count="1" selected="0">
            <x v="6"/>
          </reference>
        </references>
      </pivotArea>
    </chartFormat>
    <chartFormat chart="5" format="26">
      <pivotArea type="data" outline="0" fieldPosition="0">
        <references count="2">
          <reference field="4294967294" count="1" selected="0">
            <x v="0"/>
          </reference>
          <reference field="1" count="1" selected="0">
            <x v="7"/>
          </reference>
        </references>
      </pivotArea>
    </chartFormat>
    <chartFormat chart="5" format="27">
      <pivotArea type="data" outline="0" fieldPosition="0">
        <references count="2">
          <reference field="4294967294" count="1" selected="0">
            <x v="0"/>
          </reference>
          <reference field="1" count="1" selected="0">
            <x v="8"/>
          </reference>
        </references>
      </pivotArea>
    </chartFormat>
    <chartFormat chart="5" format="28">
      <pivotArea type="data" outline="0" fieldPosition="0">
        <references count="2">
          <reference field="4294967294" count="1" selected="0">
            <x v="0"/>
          </reference>
          <reference field="1" count="1" selected="0">
            <x v="9"/>
          </reference>
        </references>
      </pivotArea>
    </chartFormat>
    <chartFormat chart="1" format="9">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20349D-7A7B-4839-81B0-51B4EE96105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3:E11"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showAll="0"/>
    <pivotField numFmtId="164" showAll="0"/>
    <pivotField numFmtId="164" showAll="0"/>
    <pivotField dataField="1" numFmtId="164" showAll="0"/>
    <pivotField showAll="0"/>
  </pivotFields>
  <rowFields count="1">
    <field x="3"/>
  </rowFields>
  <rowItems count="8">
    <i>
      <x/>
    </i>
    <i>
      <x v="1"/>
    </i>
    <i>
      <x v="2"/>
    </i>
    <i>
      <x v="3"/>
    </i>
    <i>
      <x v="4"/>
    </i>
    <i>
      <x v="5"/>
    </i>
    <i>
      <x v="6"/>
    </i>
    <i t="grand">
      <x/>
    </i>
  </rowItems>
  <colItems count="1">
    <i/>
  </colItems>
  <dataFields count="1">
    <dataField name="Sum of Total Sales" fld="7" baseField="0" baseItem="0" numFmtId="164"/>
  </dataFields>
  <chartFormats count="12">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3" count="1" selected="0">
            <x v="5"/>
          </reference>
        </references>
      </pivotArea>
    </chartFormat>
    <chartFormat chart="10" format="2">
      <pivotArea type="data" outline="0" fieldPosition="0">
        <references count="2">
          <reference field="4294967294" count="1" selected="0">
            <x v="0"/>
          </reference>
          <reference field="3" count="1" selected="0">
            <x v="6"/>
          </reference>
        </references>
      </pivotArea>
    </chartFormat>
    <chartFormat chart="10" format="3">
      <pivotArea type="data" outline="0" fieldPosition="0">
        <references count="2">
          <reference field="4294967294" count="1" selected="0">
            <x v="0"/>
          </reference>
          <reference field="3" count="1" selected="0">
            <x v="4"/>
          </reference>
        </references>
      </pivotArea>
    </chartFormat>
    <chartFormat chart="10" format="4">
      <pivotArea type="data" outline="0" fieldPosition="0">
        <references count="2">
          <reference field="4294967294" count="1" selected="0">
            <x v="0"/>
          </reference>
          <reference field="3" count="1" selected="0">
            <x v="3"/>
          </reference>
        </references>
      </pivotArea>
    </chartFormat>
    <chartFormat chart="10" format="5">
      <pivotArea type="data" outline="0" fieldPosition="0">
        <references count="2">
          <reference field="4294967294" count="1" selected="0">
            <x v="0"/>
          </reference>
          <reference field="3" count="1" selected="0">
            <x v="1"/>
          </reference>
        </references>
      </pivotArea>
    </chartFormat>
    <chartFormat chart="10" format="6">
      <pivotArea type="data" outline="0" fieldPosition="0">
        <references count="2">
          <reference field="4294967294" count="1" selected="0">
            <x v="0"/>
          </reference>
          <reference field="3" count="1" selected="0">
            <x v="0"/>
          </reference>
        </references>
      </pivotArea>
    </chartFormat>
    <chartFormat chart="10" format="7">
      <pivotArea type="data" outline="0" fieldPosition="0">
        <references count="2">
          <reference field="4294967294" count="1" selected="0">
            <x v="0"/>
          </reference>
          <reference field="3" count="1" selected="0">
            <x v="2"/>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3" count="1" selected="0">
            <x v="0"/>
          </reference>
        </references>
      </pivotArea>
    </chartFormat>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DDA405-6824-47FE-93A6-5FE41A5BDEA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9">
    <pivotField numFmtId="14" showAll="0"/>
    <pivotField showAll="0">
      <items count="11">
        <item x="0"/>
        <item x="8"/>
        <item x="3"/>
        <item x="5"/>
        <item x="7"/>
        <item x="2"/>
        <item x="1"/>
        <item x="4"/>
        <item x="9"/>
        <item x="6"/>
        <item t="default"/>
      </items>
    </pivotField>
    <pivotField axis="axisRow" showAll="0" sortType="ascending">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showAll="0"/>
  </pivotFields>
  <rowFields count="1">
    <field x="2"/>
  </rowFields>
  <rowItems count="5">
    <i>
      <x/>
    </i>
    <i>
      <x v="1"/>
    </i>
    <i>
      <x v="2"/>
    </i>
    <i>
      <x v="3"/>
    </i>
    <i t="grand">
      <x/>
    </i>
  </rowItems>
  <colItems count="1">
    <i/>
  </colItems>
  <dataFields count="1">
    <dataField name="Sum of Total Sales" fld="7" baseField="0" baseItem="0" numFmtId="164"/>
  </dataFields>
  <chartFormats count="15">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3"/>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0"/>
          </reference>
          <reference field="2" count="1" selected="0">
            <x v="2"/>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2" count="1" selected="0">
            <x v="0"/>
          </reference>
        </references>
      </pivotArea>
    </chartFormat>
    <chartFormat chart="10" format="7">
      <pivotArea type="data" outline="0" fieldPosition="0">
        <references count="2">
          <reference field="4294967294" count="1" selected="0">
            <x v="0"/>
          </reference>
          <reference field="2" count="1" selected="0">
            <x v="1"/>
          </reference>
        </references>
      </pivotArea>
    </chartFormat>
    <chartFormat chart="10" format="8">
      <pivotArea type="data" outline="0" fieldPosition="0">
        <references count="2">
          <reference field="4294967294" count="1" selected="0">
            <x v="0"/>
          </reference>
          <reference field="2" count="1" selected="0">
            <x v="2"/>
          </reference>
        </references>
      </pivotArea>
    </chartFormat>
    <chartFormat chart="10" format="9">
      <pivotArea type="data" outline="0" fieldPosition="0">
        <references count="2">
          <reference field="4294967294" count="1" selected="0">
            <x v="0"/>
          </reference>
          <reference field="2"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2" count="1" selected="0">
            <x v="0"/>
          </reference>
        </references>
      </pivotArea>
    </chartFormat>
    <chartFormat chart="11" format="12">
      <pivotArea type="data" outline="0" fieldPosition="0">
        <references count="2">
          <reference field="4294967294" count="1" selected="0">
            <x v="0"/>
          </reference>
          <reference field="2" count="1" selected="0">
            <x v="1"/>
          </reference>
        </references>
      </pivotArea>
    </chartFormat>
    <chartFormat chart="11" format="13">
      <pivotArea type="data" outline="0" fieldPosition="0">
        <references count="2">
          <reference field="4294967294" count="1" selected="0">
            <x v="0"/>
          </reference>
          <reference field="2" count="1" selected="0">
            <x v="2"/>
          </reference>
        </references>
      </pivotArea>
    </chartFormat>
    <chartFormat chart="11"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A9F914-9789-46E4-9198-2156F763099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K3:L14" firstHeaderRow="1" firstDataRow="1" firstDataCol="1"/>
  <pivotFields count="9">
    <pivotField numFmtId="14" showAll="0"/>
    <pivotField axis="axisRow" showAll="0" sortType="ascending">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dataField="1" showAll="0"/>
    <pivotField numFmtId="164" showAll="0"/>
    <pivotField numFmtId="164" showAll="0"/>
    <pivotField numFmtId="164" showAll="0"/>
    <pivotField showAll="0"/>
  </pivotFields>
  <rowFields count="1">
    <field x="1"/>
  </rowFields>
  <rowItems count="11">
    <i>
      <x/>
    </i>
    <i>
      <x v="1"/>
    </i>
    <i>
      <x v="2"/>
    </i>
    <i>
      <x v="3"/>
    </i>
    <i>
      <x v="4"/>
    </i>
    <i>
      <x v="5"/>
    </i>
    <i>
      <x v="6"/>
    </i>
    <i>
      <x v="7"/>
    </i>
    <i>
      <x v="8"/>
    </i>
    <i>
      <x v="9"/>
    </i>
    <i t="grand">
      <x/>
    </i>
  </rowItems>
  <colItems count="1">
    <i/>
  </colItems>
  <dataFields count="1">
    <dataField name="Sum of Units Sold" fld="4" baseField="0" baseItem="0"/>
  </dataFields>
  <chartFormats count="12">
    <chartFormat chart="5" format="0" series="1">
      <pivotArea type="data" outline="0" fieldPosition="0">
        <references count="1">
          <reference field="4294967294" count="1" selected="0">
            <x v="0"/>
          </reference>
        </references>
      </pivotArea>
    </chartFormat>
    <chartFormat chart="19" format="24" series="1">
      <pivotArea type="data" outline="0" fieldPosition="0">
        <references count="1">
          <reference field="4294967294" count="1" selected="0">
            <x v="0"/>
          </reference>
        </references>
      </pivotArea>
    </chartFormat>
    <chartFormat chart="19" format="25">
      <pivotArea type="data" outline="0" fieldPosition="0">
        <references count="2">
          <reference field="4294967294" count="1" selected="0">
            <x v="0"/>
          </reference>
          <reference field="1" count="1" selected="0">
            <x v="0"/>
          </reference>
        </references>
      </pivotArea>
    </chartFormat>
    <chartFormat chart="19" format="26">
      <pivotArea type="data" outline="0" fieldPosition="0">
        <references count="2">
          <reference field="4294967294" count="1" selected="0">
            <x v="0"/>
          </reference>
          <reference field="1" count="1" selected="0">
            <x v="1"/>
          </reference>
        </references>
      </pivotArea>
    </chartFormat>
    <chartFormat chart="19" format="27">
      <pivotArea type="data" outline="0" fieldPosition="0">
        <references count="2">
          <reference field="4294967294" count="1" selected="0">
            <x v="0"/>
          </reference>
          <reference field="1" count="1" selected="0">
            <x v="2"/>
          </reference>
        </references>
      </pivotArea>
    </chartFormat>
    <chartFormat chart="19" format="28">
      <pivotArea type="data" outline="0" fieldPosition="0">
        <references count="2">
          <reference field="4294967294" count="1" selected="0">
            <x v="0"/>
          </reference>
          <reference field="1" count="1" selected="0">
            <x v="3"/>
          </reference>
        </references>
      </pivotArea>
    </chartFormat>
    <chartFormat chart="19" format="29">
      <pivotArea type="data" outline="0" fieldPosition="0">
        <references count="2">
          <reference field="4294967294" count="1" selected="0">
            <x v="0"/>
          </reference>
          <reference field="1" count="1" selected="0">
            <x v="4"/>
          </reference>
        </references>
      </pivotArea>
    </chartFormat>
    <chartFormat chart="19" format="30">
      <pivotArea type="data" outline="0" fieldPosition="0">
        <references count="2">
          <reference field="4294967294" count="1" selected="0">
            <x v="0"/>
          </reference>
          <reference field="1" count="1" selected="0">
            <x v="5"/>
          </reference>
        </references>
      </pivotArea>
    </chartFormat>
    <chartFormat chart="19" format="31">
      <pivotArea type="data" outline="0" fieldPosition="0">
        <references count="2">
          <reference field="4294967294" count="1" selected="0">
            <x v="0"/>
          </reference>
          <reference field="1" count="1" selected="0">
            <x v="6"/>
          </reference>
        </references>
      </pivotArea>
    </chartFormat>
    <chartFormat chart="19" format="32">
      <pivotArea type="data" outline="0" fieldPosition="0">
        <references count="2">
          <reference field="4294967294" count="1" selected="0">
            <x v="0"/>
          </reference>
          <reference field="1" count="1" selected="0">
            <x v="7"/>
          </reference>
        </references>
      </pivotArea>
    </chartFormat>
    <chartFormat chart="19" format="33">
      <pivotArea type="data" outline="0" fieldPosition="0">
        <references count="2">
          <reference field="4294967294" count="1" selected="0">
            <x v="0"/>
          </reference>
          <reference field="1" count="1" selected="0">
            <x v="8"/>
          </reference>
        </references>
      </pivotArea>
    </chartFormat>
    <chartFormat chart="19" format="34">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7708F933-F4F5-4520-8694-F13B079749F3}" sourceName="Sales Person">
  <pivotTables>
    <pivotTable tabId="4" name="PivotTable6"/>
    <pivotTable tabId="4" name="PivotTable1"/>
    <pivotTable tabId="4" name="PivotTable4"/>
    <pivotTable tabId="4" name="PivotTable7"/>
  </pivotTables>
  <data>
    <tabular pivotCacheId="205172943">
      <items count="10">
        <i x="0" s="1"/>
        <i x="8" s="1"/>
        <i x="3" s="1"/>
        <i x="5" s="1"/>
        <i x="7" s="1"/>
        <i x="2" s="1"/>
        <i x="1" s="1"/>
        <i x="4" s="1"/>
        <i x="9"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60D017-9548-4806-A075-13FED0DADA30}" sourceName="Region">
  <pivotTables>
    <pivotTable tabId="4" name="PivotTable6"/>
    <pivotTable tabId="4" name="PivotTable1"/>
    <pivotTable tabId="4" name="PivotTable4"/>
    <pivotTable tabId="4" name="PivotTable7"/>
  </pivotTables>
  <data>
    <tabular pivotCacheId="205172943">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178791C-1B3D-4FCB-B0F4-A4928CDF319F}" sourceName="Product">
  <pivotTables>
    <pivotTable tabId="4" name="PivotTable6"/>
    <pivotTable tabId="4" name="PivotTable1"/>
    <pivotTable tabId="4" name="PivotTable4"/>
    <pivotTable tabId="4" name="PivotTable7"/>
  </pivotTables>
  <data>
    <tabular pivotCacheId="205172943">
      <items count="7">
        <i x="2" s="1"/>
        <i x="1" s="1"/>
        <i x="5" s="1"/>
        <i x="3" s="1"/>
        <i x="6"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A052664C-F3E3-4ABB-AAB7-F3DAAA759796}" cache="Slicer_Sales_Person" caption="Sales Person" startItem="2" style="SlicerStyleLight6" rowHeight="257175"/>
  <slicer name="Region" xr10:uid="{E8214F09-43CA-4D87-9F22-CABF2E3D3C05}" cache="Slicer_Region" caption="Region" columnCount="2" style="SlicerStyleLight6" rowHeight="257175"/>
  <slicer name="Product" xr10:uid="{8ECC5E2F-D67A-481C-A59B-0AD1752970B7}" cache="Slicer_Product" caption="Product" style="SlicerStyleLight6"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211B49DA-0B80-430F-8EFC-AFB467461BB2}" cache="Slicer_Sales_Person" caption="Sales Person" startItem="2" style="SlicerStyleLight6" rowHeight="257175"/>
  <slicer name="Region 1" xr10:uid="{144AFE7B-1D42-454B-A600-C8F218209E09}" cache="Slicer_Region" caption="Region" columnCount="2" style="SlicerStyleLight6" rowHeight="257175"/>
  <slicer name="Product 1" xr10:uid="{848D1BC2-B9C1-425F-995A-FF0DF97E8E84}" cache="Slicer_Product" caption="Product" style="SlicerStyleLight6" rowHeight="257175"/>
</slicers>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A1E3D-1094-4803-A216-5500DAFF84AB}">
  <dimension ref="A3:C20"/>
  <sheetViews>
    <sheetView workbookViewId="0">
      <selection activeCell="A3" sqref="A3"/>
    </sheetView>
  </sheetViews>
  <sheetFormatPr defaultRowHeight="15" x14ac:dyDescent="0.25"/>
  <sheetData>
    <row r="3" spans="1:3" x14ac:dyDescent="0.25">
      <c r="A3" s="6"/>
      <c r="B3" s="7"/>
      <c r="C3" s="8"/>
    </row>
    <row r="4" spans="1:3" x14ac:dyDescent="0.25">
      <c r="A4" s="9"/>
      <c r="B4" s="10"/>
      <c r="C4" s="11"/>
    </row>
    <row r="5" spans="1:3" x14ac:dyDescent="0.25">
      <c r="A5" s="9"/>
      <c r="B5" s="10"/>
      <c r="C5" s="11"/>
    </row>
    <row r="6" spans="1:3" x14ac:dyDescent="0.25">
      <c r="A6" s="9"/>
      <c r="B6" s="10"/>
      <c r="C6" s="11"/>
    </row>
    <row r="7" spans="1:3" x14ac:dyDescent="0.25">
      <c r="A7" s="9"/>
      <c r="B7" s="10"/>
      <c r="C7" s="11"/>
    </row>
    <row r="8" spans="1:3" x14ac:dyDescent="0.25">
      <c r="A8" s="9"/>
      <c r="B8" s="10"/>
      <c r="C8" s="11"/>
    </row>
    <row r="9" spans="1:3" x14ac:dyDescent="0.25">
      <c r="A9" s="9"/>
      <c r="B9" s="10"/>
      <c r="C9" s="11"/>
    </row>
    <row r="10" spans="1:3" x14ac:dyDescent="0.25">
      <c r="A10" s="9"/>
      <c r="B10" s="10"/>
      <c r="C10" s="11"/>
    </row>
    <row r="11" spans="1:3" x14ac:dyDescent="0.25">
      <c r="A11" s="9"/>
      <c r="B11" s="10"/>
      <c r="C11" s="11"/>
    </row>
    <row r="12" spans="1:3" x14ac:dyDescent="0.25">
      <c r="A12" s="9"/>
      <c r="B12" s="10"/>
      <c r="C12" s="11"/>
    </row>
    <row r="13" spans="1:3" x14ac:dyDescent="0.25">
      <c r="A13" s="9"/>
      <c r="B13" s="10"/>
      <c r="C13" s="11"/>
    </row>
    <row r="14" spans="1:3" x14ac:dyDescent="0.25">
      <c r="A14" s="9"/>
      <c r="B14" s="10"/>
      <c r="C14" s="11"/>
    </row>
    <row r="15" spans="1:3" x14ac:dyDescent="0.25">
      <c r="A15" s="9"/>
      <c r="B15" s="10"/>
      <c r="C15" s="11"/>
    </row>
    <row r="16" spans="1:3" x14ac:dyDescent="0.25">
      <c r="A16" s="9"/>
      <c r="B16" s="10"/>
      <c r="C16" s="11"/>
    </row>
    <row r="17" spans="1:3" x14ac:dyDescent="0.25">
      <c r="A17" s="9"/>
      <c r="B17" s="10"/>
      <c r="C17" s="11"/>
    </row>
    <row r="18" spans="1:3" x14ac:dyDescent="0.25">
      <c r="A18" s="9"/>
      <c r="B18" s="10"/>
      <c r="C18" s="11"/>
    </row>
    <row r="19" spans="1:3" x14ac:dyDescent="0.25">
      <c r="A19" s="9"/>
      <c r="B19" s="10"/>
      <c r="C19" s="11"/>
    </row>
    <row r="20" spans="1:3" x14ac:dyDescent="0.25">
      <c r="A20" s="12"/>
      <c r="B20" s="13"/>
      <c r="C20" s="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958FA-9D38-4370-AC99-056502614DBE}">
  <dimension ref="A3:C20"/>
  <sheetViews>
    <sheetView workbookViewId="0">
      <selection activeCell="J4" sqref="J4"/>
    </sheetView>
  </sheetViews>
  <sheetFormatPr defaultRowHeight="15" x14ac:dyDescent="0.25"/>
  <sheetData>
    <row r="3" spans="1:3" x14ac:dyDescent="0.25">
      <c r="A3" s="6"/>
      <c r="B3" s="7"/>
      <c r="C3" s="8"/>
    </row>
    <row r="4" spans="1:3" x14ac:dyDescent="0.25">
      <c r="A4" s="9"/>
      <c r="B4" s="10"/>
      <c r="C4" s="11"/>
    </row>
    <row r="5" spans="1:3" x14ac:dyDescent="0.25">
      <c r="A5" s="9"/>
      <c r="B5" s="10"/>
      <c r="C5" s="11"/>
    </row>
    <row r="6" spans="1:3" x14ac:dyDescent="0.25">
      <c r="A6" s="9"/>
      <c r="B6" s="10"/>
      <c r="C6" s="11"/>
    </row>
    <row r="7" spans="1:3" x14ac:dyDescent="0.25">
      <c r="A7" s="9"/>
      <c r="B7" s="10"/>
      <c r="C7" s="11"/>
    </row>
    <row r="8" spans="1:3" x14ac:dyDescent="0.25">
      <c r="A8" s="9"/>
      <c r="B8" s="10"/>
      <c r="C8" s="11"/>
    </row>
    <row r="9" spans="1:3" x14ac:dyDescent="0.25">
      <c r="A9" s="9"/>
      <c r="B9" s="10"/>
      <c r="C9" s="11"/>
    </row>
    <row r="10" spans="1:3" x14ac:dyDescent="0.25">
      <c r="A10" s="9"/>
      <c r="B10" s="10"/>
      <c r="C10" s="11"/>
    </row>
    <row r="11" spans="1:3" x14ac:dyDescent="0.25">
      <c r="A11" s="9"/>
      <c r="B11" s="10"/>
      <c r="C11" s="11"/>
    </row>
    <row r="12" spans="1:3" x14ac:dyDescent="0.25">
      <c r="A12" s="9"/>
      <c r="B12" s="10"/>
      <c r="C12" s="11"/>
    </row>
    <row r="13" spans="1:3" x14ac:dyDescent="0.25">
      <c r="A13" s="9"/>
      <c r="B13" s="10"/>
      <c r="C13" s="11"/>
    </row>
    <row r="14" spans="1:3" x14ac:dyDescent="0.25">
      <c r="A14" s="9"/>
      <c r="B14" s="10"/>
      <c r="C14" s="11"/>
    </row>
    <row r="15" spans="1:3" x14ac:dyDescent="0.25">
      <c r="A15" s="9"/>
      <c r="B15" s="10"/>
      <c r="C15" s="11"/>
    </row>
    <row r="16" spans="1:3" x14ac:dyDescent="0.25">
      <c r="A16" s="9"/>
      <c r="B16" s="10"/>
      <c r="C16" s="11"/>
    </row>
    <row r="17" spans="1:3" x14ac:dyDescent="0.25">
      <c r="A17" s="9"/>
      <c r="B17" s="10"/>
      <c r="C17" s="11"/>
    </row>
    <row r="18" spans="1:3" x14ac:dyDescent="0.25">
      <c r="A18" s="9"/>
      <c r="B18" s="10"/>
      <c r="C18" s="11"/>
    </row>
    <row r="19" spans="1:3" x14ac:dyDescent="0.25">
      <c r="A19" s="9"/>
      <c r="B19" s="10"/>
      <c r="C19" s="11"/>
    </row>
    <row r="20" spans="1:3" x14ac:dyDescent="0.25">
      <c r="A20" s="12"/>
      <c r="B20" s="13"/>
      <c r="C20" s="14"/>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BAD69-DED4-45CE-BBCF-31670874901D}">
  <dimension ref="A2:L14"/>
  <sheetViews>
    <sheetView topLeftCell="I1" workbookViewId="0">
      <selection activeCell="Z12" sqref="Z12"/>
    </sheetView>
  </sheetViews>
  <sheetFormatPr defaultRowHeight="15" x14ac:dyDescent="0.25"/>
  <cols>
    <col min="1" max="1" width="13.42578125" bestFit="1" customWidth="1"/>
    <col min="2" max="3" width="17.7109375" bestFit="1" customWidth="1"/>
    <col min="4" max="4" width="13.42578125" bestFit="1" customWidth="1"/>
    <col min="5" max="5" width="17.7109375" bestFit="1" customWidth="1"/>
    <col min="8" max="8" width="13.42578125" bestFit="1" customWidth="1"/>
    <col min="9" max="9" width="17.7109375" bestFit="1" customWidth="1"/>
    <col min="11" max="11" width="13.42578125" bestFit="1" customWidth="1"/>
    <col min="12" max="12" width="17" bestFit="1" customWidth="1"/>
  </cols>
  <sheetData>
    <row r="2" spans="1:12" x14ac:dyDescent="0.25">
      <c r="H2" s="15" t="s">
        <v>34</v>
      </c>
      <c r="I2" t="s">
        <v>36</v>
      </c>
    </row>
    <row r="3" spans="1:12" x14ac:dyDescent="0.25">
      <c r="A3" s="15" t="s">
        <v>34</v>
      </c>
      <c r="B3" t="s">
        <v>36</v>
      </c>
      <c r="D3" s="15" t="s">
        <v>34</v>
      </c>
      <c r="E3" t="s">
        <v>36</v>
      </c>
      <c r="H3" s="3" t="s">
        <v>8</v>
      </c>
      <c r="I3" s="16">
        <v>1591600</v>
      </c>
      <c r="K3" s="15" t="s">
        <v>34</v>
      </c>
      <c r="L3" t="s">
        <v>37</v>
      </c>
    </row>
    <row r="4" spans="1:12" x14ac:dyDescent="0.25">
      <c r="A4" s="3" t="s">
        <v>12</v>
      </c>
      <c r="B4" s="16">
        <v>3534400</v>
      </c>
      <c r="D4" s="3" t="s">
        <v>16</v>
      </c>
      <c r="E4" s="16">
        <v>547200</v>
      </c>
      <c r="H4" s="3" t="s">
        <v>25</v>
      </c>
      <c r="I4" s="16">
        <v>677600</v>
      </c>
      <c r="K4" s="3" t="s">
        <v>8</v>
      </c>
      <c r="L4">
        <v>475</v>
      </c>
    </row>
    <row r="5" spans="1:12" x14ac:dyDescent="0.25">
      <c r="A5" s="3" t="s">
        <v>18</v>
      </c>
      <c r="B5" s="16">
        <v>2661400</v>
      </c>
      <c r="D5" s="3" t="s">
        <v>13</v>
      </c>
      <c r="E5" s="16">
        <v>2222500</v>
      </c>
      <c r="H5" s="3" t="s">
        <v>17</v>
      </c>
      <c r="I5" s="16">
        <v>1957000</v>
      </c>
      <c r="K5" s="3" t="s">
        <v>25</v>
      </c>
      <c r="L5">
        <v>401</v>
      </c>
    </row>
    <row r="6" spans="1:12" x14ac:dyDescent="0.25">
      <c r="A6" s="3" t="s">
        <v>15</v>
      </c>
      <c r="B6" s="16">
        <v>2870600</v>
      </c>
      <c r="D6" s="3" t="s">
        <v>26</v>
      </c>
      <c r="E6" s="16">
        <v>706800</v>
      </c>
      <c r="H6" s="3" t="s">
        <v>22</v>
      </c>
      <c r="I6" s="16">
        <v>1661400</v>
      </c>
      <c r="K6" s="3" t="s">
        <v>17</v>
      </c>
      <c r="L6">
        <v>474</v>
      </c>
    </row>
    <row r="7" spans="1:12" x14ac:dyDescent="0.25">
      <c r="A7" s="3" t="s">
        <v>9</v>
      </c>
      <c r="B7" s="16">
        <v>3878100</v>
      </c>
      <c r="D7" s="3" t="s">
        <v>19</v>
      </c>
      <c r="E7" s="16">
        <v>898000</v>
      </c>
      <c r="H7" s="3" t="s">
        <v>24</v>
      </c>
      <c r="I7" s="16">
        <v>1741200</v>
      </c>
      <c r="K7" s="3" t="s">
        <v>22</v>
      </c>
      <c r="L7">
        <v>427</v>
      </c>
    </row>
    <row r="8" spans="1:12" x14ac:dyDescent="0.25">
      <c r="A8" s="3" t="s">
        <v>35</v>
      </c>
      <c r="B8" s="16">
        <v>12944500</v>
      </c>
      <c r="D8" s="3" t="s">
        <v>28</v>
      </c>
      <c r="E8" s="16">
        <v>2350000</v>
      </c>
      <c r="H8" s="3" t="s">
        <v>14</v>
      </c>
      <c r="I8" s="16">
        <v>1110000</v>
      </c>
      <c r="K8" s="3" t="s">
        <v>24</v>
      </c>
      <c r="L8">
        <v>439</v>
      </c>
    </row>
    <row r="9" spans="1:12" x14ac:dyDescent="0.25">
      <c r="D9" s="3" t="s">
        <v>21</v>
      </c>
      <c r="E9" s="16">
        <v>3196000</v>
      </c>
      <c r="H9" s="3" t="s">
        <v>11</v>
      </c>
      <c r="I9" s="16">
        <v>1777400</v>
      </c>
      <c r="K9" s="3" t="s">
        <v>14</v>
      </c>
      <c r="L9">
        <v>579</v>
      </c>
    </row>
    <row r="10" spans="1:12" x14ac:dyDescent="0.25">
      <c r="D10" s="3" t="s">
        <v>10</v>
      </c>
      <c r="E10" s="16">
        <v>3024000</v>
      </c>
      <c r="H10" s="3" t="s">
        <v>20</v>
      </c>
      <c r="I10" s="16">
        <v>1065400</v>
      </c>
      <c r="K10" s="3" t="s">
        <v>11</v>
      </c>
      <c r="L10">
        <v>479</v>
      </c>
    </row>
    <row r="11" spans="1:12" x14ac:dyDescent="0.25">
      <c r="D11" s="3" t="s">
        <v>35</v>
      </c>
      <c r="E11" s="16">
        <v>12944500</v>
      </c>
      <c r="H11" s="3" t="s">
        <v>27</v>
      </c>
      <c r="I11" s="16">
        <v>784400</v>
      </c>
      <c r="K11" s="3" t="s">
        <v>20</v>
      </c>
      <c r="L11">
        <v>653</v>
      </c>
    </row>
    <row r="12" spans="1:12" x14ac:dyDescent="0.25">
      <c r="H12" s="3" t="s">
        <v>23</v>
      </c>
      <c r="I12" s="16">
        <v>578500</v>
      </c>
      <c r="K12" s="3" t="s">
        <v>27</v>
      </c>
      <c r="L12">
        <v>557</v>
      </c>
    </row>
    <row r="13" spans="1:12" x14ac:dyDescent="0.25">
      <c r="H13" s="3" t="s">
        <v>35</v>
      </c>
      <c r="I13" s="16">
        <v>12944500</v>
      </c>
      <c r="K13" s="3" t="s">
        <v>23</v>
      </c>
      <c r="L13">
        <v>221</v>
      </c>
    </row>
    <row r="14" spans="1:12" x14ac:dyDescent="0.25">
      <c r="K14" s="3" t="s">
        <v>35</v>
      </c>
      <c r="L14">
        <v>4705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F3377-ECD0-4FF5-B723-93033C33CB76}">
  <dimension ref="I19"/>
  <sheetViews>
    <sheetView showGridLines="0" showRowColHeaders="0" zoomScale="64" zoomScaleNormal="64" workbookViewId="0">
      <selection activeCell="AC22" sqref="AC22"/>
    </sheetView>
  </sheetViews>
  <sheetFormatPr defaultRowHeight="15" x14ac:dyDescent="0.25"/>
  <sheetData>
    <row r="19" spans="9:9" x14ac:dyDescent="0.25">
      <c r="I19"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CB3DF-9E1D-4E87-B39C-21F41FB7A8AD}">
  <dimension ref="A1:P51"/>
  <sheetViews>
    <sheetView tabSelected="1" workbookViewId="0">
      <selection activeCell="M11" sqref="M11"/>
    </sheetView>
  </sheetViews>
  <sheetFormatPr defaultRowHeight="15" x14ac:dyDescent="0.25"/>
  <cols>
    <col min="1" max="1" width="12.85546875" customWidth="1"/>
    <col min="2" max="2" width="11.28515625" customWidth="1"/>
    <col min="4" max="4" width="15.5703125" customWidth="1"/>
    <col min="6" max="6" width="10.140625" customWidth="1"/>
    <col min="7" max="7" width="13.28515625" customWidth="1"/>
    <col min="8" max="9" width="13.5703125" customWidth="1"/>
    <col min="10" max="10" width="12.28515625" bestFit="1" customWidth="1"/>
    <col min="11" max="11" width="14.28515625" customWidth="1"/>
  </cols>
  <sheetData>
    <row r="1" spans="1:16" ht="20.100000000000001" customHeight="1" thickBot="1" x14ac:dyDescent="0.3">
      <c r="A1" s="1" t="s">
        <v>0</v>
      </c>
      <c r="B1" s="1" t="s">
        <v>1</v>
      </c>
      <c r="C1" s="1" t="s">
        <v>2</v>
      </c>
      <c r="D1" s="1" t="s">
        <v>3</v>
      </c>
      <c r="E1" s="1" t="s">
        <v>4</v>
      </c>
      <c r="F1" s="1" t="s">
        <v>5</v>
      </c>
      <c r="G1" s="1" t="s">
        <v>6</v>
      </c>
      <c r="H1" s="1" t="s">
        <v>7</v>
      </c>
      <c r="I1" s="5" t="s">
        <v>29</v>
      </c>
    </row>
    <row r="2" spans="1:16" ht="15.75" thickTop="1" x14ac:dyDescent="0.25">
      <c r="A2" s="2">
        <v>44246</v>
      </c>
      <c r="B2" t="s">
        <v>8</v>
      </c>
      <c r="C2" t="s">
        <v>9</v>
      </c>
      <c r="D2" t="s">
        <v>10</v>
      </c>
      <c r="E2" s="3">
        <v>84</v>
      </c>
      <c r="F2" s="4">
        <f>IF(D2="Tent",6000,IF(D2="Blender",3500,IF(D2="Action Figure",1200,IF(D2="Novel",1000,IF(D2="Sneakers",4000,IF(D2="Smartphone",10000,IF(D2="moisturizer",600,"No Product Found")))))))</f>
        <v>6000</v>
      </c>
      <c r="G2" s="4">
        <f>IF(D2="Tent",4000,IF(D2="Blender",2500,IF(D2="Action Figure",800,IF(D2="Novel",700,IF(D2="Sneakers",3000,IF(D2="Smartphone",7000,IF(D2="moisturizer",400,"No Product Found")))))))</f>
        <v>4000</v>
      </c>
      <c r="H2" s="4">
        <f>F2*E2</f>
        <v>504000</v>
      </c>
      <c r="I2" s="16">
        <v>168000</v>
      </c>
      <c r="J2" s="16"/>
      <c r="M2" s="21" t="s">
        <v>30</v>
      </c>
      <c r="N2" s="19"/>
      <c r="O2" s="19"/>
      <c r="P2" s="20"/>
    </row>
    <row r="3" spans="1:16" x14ac:dyDescent="0.25">
      <c r="A3" s="2">
        <v>44446</v>
      </c>
      <c r="B3" t="s">
        <v>11</v>
      </c>
      <c r="C3" t="s">
        <v>12</v>
      </c>
      <c r="D3" t="s">
        <v>13</v>
      </c>
      <c r="E3" s="3">
        <v>128</v>
      </c>
      <c r="F3" s="4">
        <f t="shared" ref="F3:F51" si="0">IF(D3="Tent",6000,IF(D3="Blender",3500,IF(D3="Action Figure",1200,IF(D3="Novel",1000,IF(D3="Sneakers",4000,IF(D3="Smartphone",10000,IF(D3="moisturizer",600,"No Product Found")))))))</f>
        <v>3500</v>
      </c>
      <c r="G3" s="4">
        <f t="shared" ref="G3:G51" si="1">IF(D3="Tent",4000,IF(D3="Blender",2500,IF(D3="Action Figure",800,IF(D3="Novel",700,IF(D3="Sneakers",3000,IF(D3="Smartphone",7000,IF(D3="moisturizer",400,"No Product Found")))))))</f>
        <v>2500</v>
      </c>
      <c r="H3" s="4">
        <f t="shared" ref="H3:H51" si="2">F3*E3</f>
        <v>448000</v>
      </c>
      <c r="I3" s="16">
        <v>128000</v>
      </c>
      <c r="M3" s="18">
        <f>SUM(H2:H51)</f>
        <v>12944500</v>
      </c>
      <c r="N3" s="19"/>
      <c r="O3" s="19"/>
      <c r="P3" s="20"/>
    </row>
    <row r="4" spans="1:16" x14ac:dyDescent="0.25">
      <c r="A4" s="2">
        <v>44230</v>
      </c>
      <c r="B4" t="s">
        <v>14</v>
      </c>
      <c r="C4" t="s">
        <v>15</v>
      </c>
      <c r="D4" t="s">
        <v>16</v>
      </c>
      <c r="E4" s="3">
        <v>136</v>
      </c>
      <c r="F4" s="4">
        <f t="shared" si="0"/>
        <v>1200</v>
      </c>
      <c r="G4" s="4">
        <f t="shared" si="1"/>
        <v>800</v>
      </c>
      <c r="H4" s="4">
        <f t="shared" si="2"/>
        <v>163200</v>
      </c>
      <c r="I4" s="16">
        <v>54400</v>
      </c>
      <c r="M4" s="21" t="s">
        <v>31</v>
      </c>
      <c r="N4" s="19"/>
      <c r="O4" s="19"/>
      <c r="P4" s="20"/>
    </row>
    <row r="5" spans="1:16" x14ac:dyDescent="0.25">
      <c r="A5" s="2">
        <v>44085</v>
      </c>
      <c r="B5" t="s">
        <v>17</v>
      </c>
      <c r="C5" t="s">
        <v>18</v>
      </c>
      <c r="D5" t="s">
        <v>19</v>
      </c>
      <c r="E5" s="3">
        <v>91</v>
      </c>
      <c r="F5" s="4">
        <f t="shared" si="0"/>
        <v>1000</v>
      </c>
      <c r="G5" s="4">
        <f t="shared" si="1"/>
        <v>700</v>
      </c>
      <c r="H5" s="4">
        <f t="shared" si="2"/>
        <v>91000</v>
      </c>
      <c r="I5" s="16">
        <v>27300</v>
      </c>
      <c r="M5" s="21">
        <f>SUM(E2:E51)</f>
        <v>4705</v>
      </c>
      <c r="N5" s="19"/>
      <c r="O5" s="19"/>
      <c r="P5" s="20"/>
    </row>
    <row r="6" spans="1:16" x14ac:dyDescent="0.25">
      <c r="A6" s="2">
        <v>44462</v>
      </c>
      <c r="B6" t="s">
        <v>20</v>
      </c>
      <c r="C6" t="s">
        <v>9</v>
      </c>
      <c r="D6" t="s">
        <v>21</v>
      </c>
      <c r="E6" s="3">
        <v>110</v>
      </c>
      <c r="F6" s="4">
        <f t="shared" si="0"/>
        <v>4000</v>
      </c>
      <c r="G6" s="4">
        <f t="shared" si="1"/>
        <v>3000</v>
      </c>
      <c r="H6" s="4">
        <f t="shared" si="2"/>
        <v>440000</v>
      </c>
      <c r="I6" s="16">
        <v>110000</v>
      </c>
      <c r="M6" s="21" t="s">
        <v>32</v>
      </c>
      <c r="N6" s="19"/>
      <c r="O6" s="19"/>
      <c r="P6" s="20"/>
    </row>
    <row r="7" spans="1:16" x14ac:dyDescent="0.25">
      <c r="A7" s="2">
        <v>44105</v>
      </c>
      <c r="B7" t="s">
        <v>22</v>
      </c>
      <c r="C7" t="s">
        <v>12</v>
      </c>
      <c r="D7" t="s">
        <v>16</v>
      </c>
      <c r="E7" s="3">
        <v>51</v>
      </c>
      <c r="F7" s="4">
        <f t="shared" si="0"/>
        <v>1200</v>
      </c>
      <c r="G7" s="4">
        <f t="shared" si="1"/>
        <v>800</v>
      </c>
      <c r="H7" s="4">
        <f t="shared" si="2"/>
        <v>61200</v>
      </c>
      <c r="I7" s="16">
        <v>20400</v>
      </c>
      <c r="M7" s="18">
        <f>SUM(I2:I51)</f>
        <v>3834400</v>
      </c>
      <c r="N7" s="19"/>
      <c r="O7" s="19"/>
      <c r="P7" s="20"/>
    </row>
    <row r="8" spans="1:16" x14ac:dyDescent="0.25">
      <c r="A8" s="2">
        <v>44413</v>
      </c>
      <c r="B8" t="s">
        <v>23</v>
      </c>
      <c r="C8" t="s">
        <v>18</v>
      </c>
      <c r="D8" t="s">
        <v>19</v>
      </c>
      <c r="E8" s="3">
        <v>78</v>
      </c>
      <c r="F8" s="4">
        <f t="shared" si="0"/>
        <v>1000</v>
      </c>
      <c r="G8" s="4">
        <f t="shared" si="1"/>
        <v>700</v>
      </c>
      <c r="H8" s="4">
        <f t="shared" si="2"/>
        <v>78000</v>
      </c>
      <c r="I8" s="16">
        <v>23400</v>
      </c>
      <c r="M8" s="21" t="s">
        <v>33</v>
      </c>
      <c r="N8" s="19"/>
      <c r="O8" s="19"/>
      <c r="P8" s="20"/>
    </row>
    <row r="9" spans="1:16" x14ac:dyDescent="0.25">
      <c r="A9" s="2">
        <v>44141</v>
      </c>
      <c r="B9" t="s">
        <v>24</v>
      </c>
      <c r="C9" t="s">
        <v>15</v>
      </c>
      <c r="D9" t="s">
        <v>10</v>
      </c>
      <c r="E9" s="3">
        <v>146</v>
      </c>
      <c r="F9" s="4">
        <f t="shared" si="0"/>
        <v>6000</v>
      </c>
      <c r="G9" s="4">
        <f t="shared" si="1"/>
        <v>4000</v>
      </c>
      <c r="H9" s="4">
        <f t="shared" si="2"/>
        <v>876000</v>
      </c>
      <c r="I9" s="16">
        <v>292000</v>
      </c>
      <c r="M9" s="18">
        <f>AVERAGE(H2:H51)</f>
        <v>258890</v>
      </c>
      <c r="N9" s="19"/>
      <c r="O9" s="19"/>
      <c r="P9" s="20"/>
    </row>
    <row r="10" spans="1:16" x14ac:dyDescent="0.25">
      <c r="A10" s="2">
        <v>44223</v>
      </c>
      <c r="B10" t="s">
        <v>25</v>
      </c>
      <c r="C10" t="s">
        <v>9</v>
      </c>
      <c r="D10" t="s">
        <v>26</v>
      </c>
      <c r="E10" s="3">
        <v>101</v>
      </c>
      <c r="F10" s="4">
        <f t="shared" si="0"/>
        <v>600</v>
      </c>
      <c r="G10" s="4">
        <f t="shared" si="1"/>
        <v>400</v>
      </c>
      <c r="H10" s="4">
        <f t="shared" si="2"/>
        <v>60600</v>
      </c>
      <c r="I10" s="16">
        <v>20200</v>
      </c>
    </row>
    <row r="11" spans="1:16" x14ac:dyDescent="0.25">
      <c r="A11" s="2">
        <v>44442</v>
      </c>
      <c r="B11" t="s">
        <v>27</v>
      </c>
      <c r="C11" t="s">
        <v>15</v>
      </c>
      <c r="D11" t="s">
        <v>10</v>
      </c>
      <c r="E11" s="3">
        <v>52</v>
      </c>
      <c r="F11" s="4">
        <f t="shared" si="0"/>
        <v>6000</v>
      </c>
      <c r="G11" s="4">
        <f t="shared" si="1"/>
        <v>4000</v>
      </c>
      <c r="H11" s="4">
        <f t="shared" si="2"/>
        <v>312000</v>
      </c>
      <c r="I11" s="16">
        <v>104000</v>
      </c>
    </row>
    <row r="12" spans="1:16" x14ac:dyDescent="0.25">
      <c r="A12" s="2">
        <v>44469</v>
      </c>
      <c r="B12" t="s">
        <v>27</v>
      </c>
      <c r="C12" t="s">
        <v>12</v>
      </c>
      <c r="D12" t="s">
        <v>16</v>
      </c>
      <c r="E12" s="3">
        <v>55</v>
      </c>
      <c r="F12" s="4">
        <f t="shared" si="0"/>
        <v>1200</v>
      </c>
      <c r="G12" s="4">
        <f t="shared" si="1"/>
        <v>800</v>
      </c>
      <c r="H12" s="4">
        <f t="shared" si="2"/>
        <v>66000</v>
      </c>
      <c r="I12" s="16">
        <v>22000</v>
      </c>
    </row>
    <row r="13" spans="1:16" x14ac:dyDescent="0.25">
      <c r="A13" s="2">
        <v>44084</v>
      </c>
      <c r="B13" t="s">
        <v>27</v>
      </c>
      <c r="C13" t="s">
        <v>15</v>
      </c>
      <c r="D13" t="s">
        <v>19</v>
      </c>
      <c r="E13" s="3">
        <v>137</v>
      </c>
      <c r="F13" s="4">
        <f t="shared" si="0"/>
        <v>1000</v>
      </c>
      <c r="G13" s="4">
        <f t="shared" si="1"/>
        <v>700</v>
      </c>
      <c r="H13" s="4">
        <f t="shared" si="2"/>
        <v>137000</v>
      </c>
      <c r="I13" s="16">
        <v>41100</v>
      </c>
    </row>
    <row r="14" spans="1:16" x14ac:dyDescent="0.25">
      <c r="A14" s="2">
        <v>44404</v>
      </c>
      <c r="B14" t="s">
        <v>24</v>
      </c>
      <c r="C14" t="s">
        <v>15</v>
      </c>
      <c r="D14" t="s">
        <v>13</v>
      </c>
      <c r="E14" s="3">
        <v>96</v>
      </c>
      <c r="F14" s="4">
        <f t="shared" si="0"/>
        <v>3500</v>
      </c>
      <c r="G14" s="4">
        <f t="shared" si="1"/>
        <v>2500</v>
      </c>
      <c r="H14" s="4">
        <f t="shared" si="2"/>
        <v>336000</v>
      </c>
      <c r="I14" s="16">
        <v>96000</v>
      </c>
    </row>
    <row r="15" spans="1:16" x14ac:dyDescent="0.25">
      <c r="A15" s="2">
        <v>44113</v>
      </c>
      <c r="B15" t="s">
        <v>25</v>
      </c>
      <c r="C15" t="s">
        <v>12</v>
      </c>
      <c r="D15" t="s">
        <v>21</v>
      </c>
      <c r="E15" s="3">
        <v>52</v>
      </c>
      <c r="F15" s="4">
        <f t="shared" si="0"/>
        <v>4000</v>
      </c>
      <c r="G15" s="4">
        <f t="shared" si="1"/>
        <v>3000</v>
      </c>
      <c r="H15" s="4">
        <f t="shared" si="2"/>
        <v>208000</v>
      </c>
      <c r="I15" s="16">
        <v>52000</v>
      </c>
    </row>
    <row r="16" spans="1:16" x14ac:dyDescent="0.25">
      <c r="A16" s="2">
        <v>44292</v>
      </c>
      <c r="B16" t="s">
        <v>17</v>
      </c>
      <c r="C16" t="s">
        <v>9</v>
      </c>
      <c r="D16" t="s">
        <v>13</v>
      </c>
      <c r="E16" s="3">
        <v>76</v>
      </c>
      <c r="F16" s="4">
        <f t="shared" si="0"/>
        <v>3500</v>
      </c>
      <c r="G16" s="4">
        <f t="shared" si="1"/>
        <v>2500</v>
      </c>
      <c r="H16" s="4">
        <f t="shared" si="2"/>
        <v>266000</v>
      </c>
      <c r="I16" s="16">
        <v>76000</v>
      </c>
    </row>
    <row r="17" spans="1:9" x14ac:dyDescent="0.25">
      <c r="A17" s="2">
        <v>44362</v>
      </c>
      <c r="B17" t="s">
        <v>11</v>
      </c>
      <c r="C17" t="s">
        <v>18</v>
      </c>
      <c r="D17" t="s">
        <v>21</v>
      </c>
      <c r="E17" s="3">
        <v>145</v>
      </c>
      <c r="F17" s="4">
        <f t="shared" si="0"/>
        <v>4000</v>
      </c>
      <c r="G17" s="4">
        <f t="shared" si="1"/>
        <v>3000</v>
      </c>
      <c r="H17" s="4">
        <f t="shared" si="2"/>
        <v>580000</v>
      </c>
      <c r="I17" s="16">
        <v>145000</v>
      </c>
    </row>
    <row r="18" spans="1:9" x14ac:dyDescent="0.25">
      <c r="A18" s="2">
        <v>44083</v>
      </c>
      <c r="B18" t="s">
        <v>8</v>
      </c>
      <c r="C18" t="s">
        <v>15</v>
      </c>
      <c r="D18" t="s">
        <v>26</v>
      </c>
      <c r="E18" s="3">
        <v>83</v>
      </c>
      <c r="F18" s="4">
        <f t="shared" si="0"/>
        <v>600</v>
      </c>
      <c r="G18" s="4">
        <f t="shared" si="1"/>
        <v>400</v>
      </c>
      <c r="H18" s="4">
        <f t="shared" si="2"/>
        <v>49800</v>
      </c>
      <c r="I18" s="16">
        <v>16600</v>
      </c>
    </row>
    <row r="19" spans="1:9" x14ac:dyDescent="0.25">
      <c r="A19" s="2">
        <v>44421</v>
      </c>
      <c r="B19" t="s">
        <v>20</v>
      </c>
      <c r="C19" t="s">
        <v>15</v>
      </c>
      <c r="D19" t="s">
        <v>19</v>
      </c>
      <c r="E19" s="3">
        <v>91</v>
      </c>
      <c r="F19" s="4">
        <f t="shared" si="0"/>
        <v>1000</v>
      </c>
      <c r="G19" s="4">
        <f t="shared" si="1"/>
        <v>700</v>
      </c>
      <c r="H19" s="4">
        <f t="shared" si="2"/>
        <v>91000</v>
      </c>
      <c r="I19" s="16">
        <v>27300</v>
      </c>
    </row>
    <row r="20" spans="1:9" x14ac:dyDescent="0.25">
      <c r="A20" s="2">
        <v>44070</v>
      </c>
      <c r="B20" t="s">
        <v>22</v>
      </c>
      <c r="C20" t="s">
        <v>9</v>
      </c>
      <c r="D20" t="s">
        <v>28</v>
      </c>
      <c r="E20" s="3">
        <v>108</v>
      </c>
      <c r="F20" s="4">
        <f t="shared" si="0"/>
        <v>10000</v>
      </c>
      <c r="G20" s="4">
        <f t="shared" si="1"/>
        <v>7000</v>
      </c>
      <c r="H20" s="4">
        <f t="shared" si="2"/>
        <v>1080000</v>
      </c>
      <c r="I20" s="16">
        <v>324000</v>
      </c>
    </row>
    <row r="21" spans="1:9" x14ac:dyDescent="0.25">
      <c r="A21" s="2">
        <v>44293</v>
      </c>
      <c r="B21" t="s">
        <v>14</v>
      </c>
      <c r="C21" t="s">
        <v>18</v>
      </c>
      <c r="D21" t="s">
        <v>21</v>
      </c>
      <c r="E21" s="3">
        <v>144</v>
      </c>
      <c r="F21" s="4">
        <f t="shared" si="0"/>
        <v>4000</v>
      </c>
      <c r="G21" s="4">
        <f t="shared" si="1"/>
        <v>3000</v>
      </c>
      <c r="H21" s="4">
        <f t="shared" si="2"/>
        <v>576000</v>
      </c>
      <c r="I21" s="16">
        <v>144000</v>
      </c>
    </row>
    <row r="22" spans="1:9" x14ac:dyDescent="0.25">
      <c r="A22" s="2">
        <v>43990</v>
      </c>
      <c r="B22" t="s">
        <v>20</v>
      </c>
      <c r="C22" t="s">
        <v>15</v>
      </c>
      <c r="D22" t="s">
        <v>26</v>
      </c>
      <c r="E22" s="3">
        <v>92</v>
      </c>
      <c r="F22" s="4">
        <f t="shared" si="0"/>
        <v>600</v>
      </c>
      <c r="G22" s="4">
        <f t="shared" si="1"/>
        <v>400</v>
      </c>
      <c r="H22" s="4">
        <f t="shared" si="2"/>
        <v>55200</v>
      </c>
      <c r="I22" s="16">
        <v>18400</v>
      </c>
    </row>
    <row r="23" spans="1:9" x14ac:dyDescent="0.25">
      <c r="A23" s="2">
        <v>44551</v>
      </c>
      <c r="B23" t="s">
        <v>24</v>
      </c>
      <c r="C23" t="s">
        <v>9</v>
      </c>
      <c r="D23" t="s">
        <v>10</v>
      </c>
      <c r="E23" s="3">
        <v>71</v>
      </c>
      <c r="F23" s="4">
        <f t="shared" si="0"/>
        <v>6000</v>
      </c>
      <c r="G23" s="4">
        <f t="shared" si="1"/>
        <v>4000</v>
      </c>
      <c r="H23" s="4">
        <f t="shared" si="2"/>
        <v>426000</v>
      </c>
      <c r="I23" s="16">
        <v>142000</v>
      </c>
    </row>
    <row r="24" spans="1:9" x14ac:dyDescent="0.25">
      <c r="A24" s="2">
        <v>44418</v>
      </c>
      <c r="B24" t="s">
        <v>8</v>
      </c>
      <c r="C24" t="s">
        <v>12</v>
      </c>
      <c r="D24" t="s">
        <v>26</v>
      </c>
      <c r="E24" s="3">
        <v>103</v>
      </c>
      <c r="F24" s="4">
        <f t="shared" si="0"/>
        <v>600</v>
      </c>
      <c r="G24" s="4">
        <f t="shared" si="1"/>
        <v>400</v>
      </c>
      <c r="H24" s="4">
        <f t="shared" si="2"/>
        <v>61800</v>
      </c>
      <c r="I24" s="16">
        <v>20600</v>
      </c>
    </row>
    <row r="25" spans="1:9" x14ac:dyDescent="0.25">
      <c r="A25" s="2">
        <v>44532</v>
      </c>
      <c r="B25" t="s">
        <v>27</v>
      </c>
      <c r="C25" t="s">
        <v>18</v>
      </c>
      <c r="D25" t="s">
        <v>19</v>
      </c>
      <c r="E25" s="3">
        <v>55</v>
      </c>
      <c r="F25" s="4">
        <f t="shared" si="0"/>
        <v>1000</v>
      </c>
      <c r="G25" s="4">
        <f t="shared" si="1"/>
        <v>700</v>
      </c>
      <c r="H25" s="4">
        <f t="shared" si="2"/>
        <v>55000</v>
      </c>
      <c r="I25" s="16">
        <v>16500</v>
      </c>
    </row>
    <row r="26" spans="1:9" x14ac:dyDescent="0.25">
      <c r="A26" s="2">
        <v>44438</v>
      </c>
      <c r="B26" t="s">
        <v>22</v>
      </c>
      <c r="C26" t="s">
        <v>12</v>
      </c>
      <c r="D26" t="s">
        <v>21</v>
      </c>
      <c r="E26" s="3">
        <v>93</v>
      </c>
      <c r="F26" s="4">
        <f t="shared" si="0"/>
        <v>4000</v>
      </c>
      <c r="G26" s="4">
        <f t="shared" si="1"/>
        <v>3000</v>
      </c>
      <c r="H26" s="4">
        <f t="shared" si="2"/>
        <v>372000</v>
      </c>
      <c r="I26" s="16">
        <v>93000</v>
      </c>
    </row>
    <row r="27" spans="1:9" x14ac:dyDescent="0.25">
      <c r="A27" s="2">
        <v>43971</v>
      </c>
      <c r="B27" t="s">
        <v>14</v>
      </c>
      <c r="C27" t="s">
        <v>15</v>
      </c>
      <c r="D27" t="s">
        <v>26</v>
      </c>
      <c r="E27" s="3">
        <v>143</v>
      </c>
      <c r="F27" s="4">
        <f t="shared" si="0"/>
        <v>600</v>
      </c>
      <c r="G27" s="4">
        <f t="shared" si="1"/>
        <v>400</v>
      </c>
      <c r="H27" s="4">
        <f t="shared" si="2"/>
        <v>85800</v>
      </c>
      <c r="I27" s="16">
        <v>28600</v>
      </c>
    </row>
    <row r="28" spans="1:9" x14ac:dyDescent="0.25">
      <c r="A28" s="2">
        <v>44452</v>
      </c>
      <c r="B28" t="s">
        <v>23</v>
      </c>
      <c r="C28" t="s">
        <v>9</v>
      </c>
      <c r="D28" t="s">
        <v>13</v>
      </c>
      <c r="E28" s="3">
        <v>143</v>
      </c>
      <c r="F28" s="4">
        <f t="shared" si="0"/>
        <v>3500</v>
      </c>
      <c r="G28" s="4">
        <f t="shared" si="1"/>
        <v>2500</v>
      </c>
      <c r="H28" s="4">
        <f t="shared" si="2"/>
        <v>500500</v>
      </c>
      <c r="I28" s="16">
        <v>143000</v>
      </c>
    </row>
    <row r="29" spans="1:9" x14ac:dyDescent="0.25">
      <c r="A29" s="2">
        <v>44496</v>
      </c>
      <c r="B29" t="s">
        <v>25</v>
      </c>
      <c r="C29" t="s">
        <v>18</v>
      </c>
      <c r="D29" t="s">
        <v>26</v>
      </c>
      <c r="E29" s="3">
        <v>99</v>
      </c>
      <c r="F29" s="4">
        <f t="shared" si="0"/>
        <v>600</v>
      </c>
      <c r="G29" s="4">
        <f t="shared" si="1"/>
        <v>400</v>
      </c>
      <c r="H29" s="4">
        <f t="shared" si="2"/>
        <v>59400</v>
      </c>
      <c r="I29" s="16">
        <v>19800</v>
      </c>
    </row>
    <row r="30" spans="1:9" x14ac:dyDescent="0.25">
      <c r="A30" s="2">
        <v>44187</v>
      </c>
      <c r="B30" t="s">
        <v>17</v>
      </c>
      <c r="C30" t="s">
        <v>9</v>
      </c>
      <c r="D30" t="s">
        <v>19</v>
      </c>
      <c r="E30" s="3">
        <v>120</v>
      </c>
      <c r="F30" s="4">
        <f t="shared" si="0"/>
        <v>1000</v>
      </c>
      <c r="G30" s="4">
        <f t="shared" si="1"/>
        <v>700</v>
      </c>
      <c r="H30" s="4">
        <f t="shared" si="2"/>
        <v>120000</v>
      </c>
      <c r="I30" s="16">
        <v>36000</v>
      </c>
    </row>
    <row r="31" spans="1:9" x14ac:dyDescent="0.25">
      <c r="A31" s="2">
        <v>44405</v>
      </c>
      <c r="B31" t="s">
        <v>11</v>
      </c>
      <c r="C31" t="s">
        <v>15</v>
      </c>
      <c r="D31" t="s">
        <v>13</v>
      </c>
      <c r="E31" s="3">
        <v>66</v>
      </c>
      <c r="F31" s="4">
        <f t="shared" si="0"/>
        <v>3500</v>
      </c>
      <c r="G31" s="4">
        <f t="shared" si="1"/>
        <v>2500</v>
      </c>
      <c r="H31" s="4">
        <f t="shared" si="2"/>
        <v>231000</v>
      </c>
      <c r="I31" s="16">
        <v>66000</v>
      </c>
    </row>
    <row r="32" spans="1:9" x14ac:dyDescent="0.25">
      <c r="A32" s="2">
        <v>44103</v>
      </c>
      <c r="B32" t="s">
        <v>25</v>
      </c>
      <c r="C32" t="s">
        <v>18</v>
      </c>
      <c r="D32" t="s">
        <v>16</v>
      </c>
      <c r="E32" s="3">
        <v>88</v>
      </c>
      <c r="F32" s="4">
        <f t="shared" si="0"/>
        <v>1200</v>
      </c>
      <c r="G32" s="4">
        <f t="shared" si="1"/>
        <v>800</v>
      </c>
      <c r="H32" s="4">
        <f t="shared" si="2"/>
        <v>105600</v>
      </c>
      <c r="I32" s="16">
        <v>35200</v>
      </c>
    </row>
    <row r="33" spans="1:9" x14ac:dyDescent="0.25">
      <c r="A33" s="2">
        <v>44126</v>
      </c>
      <c r="B33" t="s">
        <v>17</v>
      </c>
      <c r="C33" t="s">
        <v>12</v>
      </c>
      <c r="D33" t="s">
        <v>28</v>
      </c>
      <c r="E33" s="3">
        <v>127</v>
      </c>
      <c r="F33" s="4">
        <f t="shared" si="0"/>
        <v>10000</v>
      </c>
      <c r="G33" s="4">
        <f t="shared" si="1"/>
        <v>7000</v>
      </c>
      <c r="H33" s="4">
        <f t="shared" si="2"/>
        <v>1270000</v>
      </c>
      <c r="I33" s="16">
        <v>381000</v>
      </c>
    </row>
    <row r="34" spans="1:9" x14ac:dyDescent="0.25">
      <c r="A34" s="2">
        <v>43970</v>
      </c>
      <c r="B34" t="s">
        <v>20</v>
      </c>
      <c r="C34" t="s">
        <v>9</v>
      </c>
      <c r="D34" t="s">
        <v>21</v>
      </c>
      <c r="E34" s="3">
        <v>67</v>
      </c>
      <c r="F34" s="4">
        <f t="shared" si="0"/>
        <v>4000</v>
      </c>
      <c r="G34" s="4">
        <f t="shared" si="1"/>
        <v>3000</v>
      </c>
      <c r="H34" s="4">
        <f t="shared" si="2"/>
        <v>268000</v>
      </c>
      <c r="I34" s="16">
        <v>67000</v>
      </c>
    </row>
    <row r="35" spans="1:9" x14ac:dyDescent="0.25">
      <c r="A35" s="2">
        <v>44536</v>
      </c>
      <c r="B35" t="s">
        <v>11</v>
      </c>
      <c r="C35" t="s">
        <v>12</v>
      </c>
      <c r="D35" t="s">
        <v>16</v>
      </c>
      <c r="E35" s="3">
        <v>67</v>
      </c>
      <c r="F35" s="4">
        <f t="shared" si="0"/>
        <v>1200</v>
      </c>
      <c r="G35" s="4">
        <f t="shared" si="1"/>
        <v>800</v>
      </c>
      <c r="H35" s="4">
        <f t="shared" si="2"/>
        <v>80400</v>
      </c>
      <c r="I35" s="16">
        <v>26800</v>
      </c>
    </row>
    <row r="36" spans="1:9" x14ac:dyDescent="0.25">
      <c r="A36" s="2">
        <v>44069</v>
      </c>
      <c r="B36" t="s">
        <v>27</v>
      </c>
      <c r="C36" t="s">
        <v>15</v>
      </c>
      <c r="D36" t="s">
        <v>19</v>
      </c>
      <c r="E36" s="3">
        <v>149</v>
      </c>
      <c r="F36" s="4">
        <f t="shared" si="0"/>
        <v>1000</v>
      </c>
      <c r="G36" s="4">
        <f t="shared" si="1"/>
        <v>700</v>
      </c>
      <c r="H36" s="4">
        <f t="shared" si="2"/>
        <v>149000</v>
      </c>
      <c r="I36" s="16">
        <v>44700</v>
      </c>
    </row>
    <row r="37" spans="1:9" x14ac:dyDescent="0.25">
      <c r="A37" s="2">
        <v>44378</v>
      </c>
      <c r="B37" t="s">
        <v>20</v>
      </c>
      <c r="C37" t="s">
        <v>18</v>
      </c>
      <c r="D37" t="s">
        <v>26</v>
      </c>
      <c r="E37" s="3">
        <v>104</v>
      </c>
      <c r="F37" s="4">
        <f t="shared" si="0"/>
        <v>600</v>
      </c>
      <c r="G37" s="4">
        <f t="shared" si="1"/>
        <v>400</v>
      </c>
      <c r="H37" s="4">
        <f t="shared" si="2"/>
        <v>62400</v>
      </c>
      <c r="I37" s="16">
        <v>20800</v>
      </c>
    </row>
    <row r="38" spans="1:9" x14ac:dyDescent="0.25">
      <c r="A38" s="2">
        <v>44404</v>
      </c>
      <c r="B38" t="s">
        <v>24</v>
      </c>
      <c r="C38" t="s">
        <v>9</v>
      </c>
      <c r="D38" t="s">
        <v>26</v>
      </c>
      <c r="E38" s="3">
        <v>57</v>
      </c>
      <c r="F38" s="4">
        <f t="shared" si="0"/>
        <v>600</v>
      </c>
      <c r="G38" s="4">
        <f t="shared" si="1"/>
        <v>400</v>
      </c>
      <c r="H38" s="4">
        <f t="shared" si="2"/>
        <v>34200</v>
      </c>
      <c r="I38" s="16">
        <v>11400</v>
      </c>
    </row>
    <row r="39" spans="1:9" x14ac:dyDescent="0.25">
      <c r="A39" s="2">
        <v>44109</v>
      </c>
      <c r="B39" t="s">
        <v>14</v>
      </c>
      <c r="C39" t="s">
        <v>12</v>
      </c>
      <c r="D39" t="s">
        <v>26</v>
      </c>
      <c r="E39" s="3">
        <v>90</v>
      </c>
      <c r="F39" s="4">
        <f t="shared" si="0"/>
        <v>600</v>
      </c>
      <c r="G39" s="4">
        <f t="shared" si="1"/>
        <v>400</v>
      </c>
      <c r="H39" s="4">
        <f t="shared" si="2"/>
        <v>54000</v>
      </c>
      <c r="I39" s="16">
        <v>18000</v>
      </c>
    </row>
    <row r="40" spans="1:9" x14ac:dyDescent="0.25">
      <c r="A40" s="2">
        <v>44076</v>
      </c>
      <c r="B40" t="s">
        <v>22</v>
      </c>
      <c r="C40" t="s">
        <v>15</v>
      </c>
      <c r="D40" t="s">
        <v>26</v>
      </c>
      <c r="E40" s="3">
        <v>67</v>
      </c>
      <c r="F40" s="4">
        <f t="shared" si="0"/>
        <v>600</v>
      </c>
      <c r="G40" s="4">
        <f t="shared" si="1"/>
        <v>400</v>
      </c>
      <c r="H40" s="4">
        <f t="shared" si="2"/>
        <v>40200</v>
      </c>
      <c r="I40" s="16">
        <v>13400</v>
      </c>
    </row>
    <row r="41" spans="1:9" x14ac:dyDescent="0.25">
      <c r="A41" s="2">
        <v>44441</v>
      </c>
      <c r="B41" t="s">
        <v>8</v>
      </c>
      <c r="C41" t="s">
        <v>18</v>
      </c>
      <c r="D41" t="s">
        <v>21</v>
      </c>
      <c r="E41" s="3">
        <v>127</v>
      </c>
      <c r="F41" s="4">
        <f t="shared" si="0"/>
        <v>4000</v>
      </c>
      <c r="G41" s="4">
        <f t="shared" si="1"/>
        <v>3000</v>
      </c>
      <c r="H41" s="4">
        <f t="shared" si="2"/>
        <v>508000</v>
      </c>
      <c r="I41" s="16">
        <v>127000</v>
      </c>
    </row>
    <row r="42" spans="1:9" x14ac:dyDescent="0.25">
      <c r="A42" s="2">
        <v>44299</v>
      </c>
      <c r="B42" t="s">
        <v>22</v>
      </c>
      <c r="C42" t="s">
        <v>9</v>
      </c>
      <c r="D42" t="s">
        <v>19</v>
      </c>
      <c r="E42" s="3">
        <v>108</v>
      </c>
      <c r="F42" s="4">
        <f t="shared" si="0"/>
        <v>1000</v>
      </c>
      <c r="G42" s="4">
        <f t="shared" si="1"/>
        <v>700</v>
      </c>
      <c r="H42" s="4">
        <f t="shared" si="2"/>
        <v>108000</v>
      </c>
      <c r="I42" s="16">
        <v>32400</v>
      </c>
    </row>
    <row r="43" spans="1:9" x14ac:dyDescent="0.25">
      <c r="A43" s="2">
        <v>44322</v>
      </c>
      <c r="B43" t="s">
        <v>14</v>
      </c>
      <c r="C43" t="s">
        <v>12</v>
      </c>
      <c r="D43" t="s">
        <v>13</v>
      </c>
      <c r="E43" s="3">
        <v>66</v>
      </c>
      <c r="F43" s="4">
        <f t="shared" si="0"/>
        <v>3500</v>
      </c>
      <c r="G43" s="4">
        <f t="shared" si="1"/>
        <v>2500</v>
      </c>
      <c r="H43" s="4">
        <f t="shared" si="2"/>
        <v>231000</v>
      </c>
      <c r="I43" s="16">
        <v>66000</v>
      </c>
    </row>
    <row r="44" spans="1:9" x14ac:dyDescent="0.25">
      <c r="A44" s="2">
        <v>44211</v>
      </c>
      <c r="B44" t="s">
        <v>8</v>
      </c>
      <c r="C44" t="s">
        <v>18</v>
      </c>
      <c r="D44" t="s">
        <v>10</v>
      </c>
      <c r="E44" s="3">
        <v>78</v>
      </c>
      <c r="F44" s="4">
        <f t="shared" si="0"/>
        <v>6000</v>
      </c>
      <c r="G44" s="4">
        <f t="shared" si="1"/>
        <v>4000</v>
      </c>
      <c r="H44" s="4">
        <f t="shared" si="2"/>
        <v>468000</v>
      </c>
      <c r="I44" s="16">
        <v>156000</v>
      </c>
    </row>
    <row r="45" spans="1:9" x14ac:dyDescent="0.25">
      <c r="A45" s="2">
        <v>44070</v>
      </c>
      <c r="B45" t="s">
        <v>24</v>
      </c>
      <c r="C45" t="s">
        <v>15</v>
      </c>
      <c r="D45" t="s">
        <v>19</v>
      </c>
      <c r="E45" s="3">
        <v>69</v>
      </c>
      <c r="F45" s="4">
        <f t="shared" si="0"/>
        <v>1000</v>
      </c>
      <c r="G45" s="4">
        <f t="shared" si="1"/>
        <v>700</v>
      </c>
      <c r="H45" s="4">
        <f t="shared" si="2"/>
        <v>69000</v>
      </c>
      <c r="I45" s="16">
        <v>20700</v>
      </c>
    </row>
    <row r="46" spans="1:9" x14ac:dyDescent="0.25">
      <c r="A46" s="2">
        <v>44232</v>
      </c>
      <c r="B46" t="s">
        <v>20</v>
      </c>
      <c r="C46" t="s">
        <v>9</v>
      </c>
      <c r="D46" t="s">
        <v>16</v>
      </c>
      <c r="E46" s="3">
        <v>59</v>
      </c>
      <c r="F46" s="4">
        <f t="shared" si="0"/>
        <v>1200</v>
      </c>
      <c r="G46" s="4">
        <f t="shared" si="1"/>
        <v>800</v>
      </c>
      <c r="H46" s="4">
        <f t="shared" si="2"/>
        <v>70800</v>
      </c>
      <c r="I46" s="16">
        <v>23600</v>
      </c>
    </row>
    <row r="47" spans="1:9" x14ac:dyDescent="0.25">
      <c r="A47" s="2">
        <v>44517</v>
      </c>
      <c r="B47" t="s">
        <v>27</v>
      </c>
      <c r="C47" t="s">
        <v>15</v>
      </c>
      <c r="D47" t="s">
        <v>26</v>
      </c>
      <c r="E47" s="3">
        <v>109</v>
      </c>
      <c r="F47" s="4">
        <f t="shared" si="0"/>
        <v>600</v>
      </c>
      <c r="G47" s="4">
        <f t="shared" si="1"/>
        <v>400</v>
      </c>
      <c r="H47" s="4">
        <f t="shared" si="2"/>
        <v>65400</v>
      </c>
      <c r="I47" s="16">
        <v>21800</v>
      </c>
    </row>
    <row r="48" spans="1:9" x14ac:dyDescent="0.25">
      <c r="A48" s="2">
        <v>44193</v>
      </c>
      <c r="B48" t="s">
        <v>25</v>
      </c>
      <c r="C48" t="s">
        <v>12</v>
      </c>
      <c r="D48" t="s">
        <v>21</v>
      </c>
      <c r="E48" s="3">
        <v>61</v>
      </c>
      <c r="F48" s="4">
        <f t="shared" si="0"/>
        <v>4000</v>
      </c>
      <c r="G48" s="4">
        <f t="shared" si="1"/>
        <v>3000</v>
      </c>
      <c r="H48" s="4">
        <f t="shared" si="2"/>
        <v>244000</v>
      </c>
      <c r="I48" s="16">
        <v>61000</v>
      </c>
    </row>
    <row r="49" spans="1:9" x14ac:dyDescent="0.25">
      <c r="A49" s="2">
        <v>44496</v>
      </c>
      <c r="B49" t="s">
        <v>20</v>
      </c>
      <c r="C49" t="s">
        <v>18</v>
      </c>
      <c r="D49" t="s">
        <v>26</v>
      </c>
      <c r="E49" s="3">
        <v>130</v>
      </c>
      <c r="F49" s="4">
        <f t="shared" si="0"/>
        <v>600</v>
      </c>
      <c r="G49" s="4">
        <f t="shared" si="1"/>
        <v>400</v>
      </c>
      <c r="H49" s="4">
        <f t="shared" si="2"/>
        <v>78000</v>
      </c>
      <c r="I49" s="16">
        <v>26000</v>
      </c>
    </row>
    <row r="50" spans="1:9" x14ac:dyDescent="0.25">
      <c r="A50" s="2">
        <v>44502</v>
      </c>
      <c r="B50" t="s">
        <v>17</v>
      </c>
      <c r="C50" t="s">
        <v>15</v>
      </c>
      <c r="D50" t="s">
        <v>13</v>
      </c>
      <c r="E50" s="3">
        <v>60</v>
      </c>
      <c r="F50" s="4">
        <f t="shared" si="0"/>
        <v>3500</v>
      </c>
      <c r="G50" s="4">
        <f t="shared" si="1"/>
        <v>2500</v>
      </c>
      <c r="H50" s="4">
        <f t="shared" si="2"/>
        <v>210000</v>
      </c>
      <c r="I50" s="16">
        <v>60000</v>
      </c>
    </row>
    <row r="51" spans="1:9" x14ac:dyDescent="0.25">
      <c r="A51" s="2">
        <v>43958</v>
      </c>
      <c r="B51" t="s">
        <v>11</v>
      </c>
      <c r="C51" t="s">
        <v>12</v>
      </c>
      <c r="D51" t="s">
        <v>10</v>
      </c>
      <c r="E51" s="3">
        <v>73</v>
      </c>
      <c r="F51" s="4">
        <f t="shared" si="0"/>
        <v>6000</v>
      </c>
      <c r="G51" s="4">
        <f t="shared" si="1"/>
        <v>4000</v>
      </c>
      <c r="H51" s="4">
        <f t="shared" si="2"/>
        <v>438000</v>
      </c>
      <c r="I51" s="16">
        <v>146000</v>
      </c>
    </row>
  </sheetData>
  <mergeCells count="8">
    <mergeCell ref="M7:P7"/>
    <mergeCell ref="M8:P8"/>
    <mergeCell ref="M9:P9"/>
    <mergeCell ref="M2:P2"/>
    <mergeCell ref="M3:P3"/>
    <mergeCell ref="M4:P4"/>
    <mergeCell ref="M5:P5"/>
    <mergeCell ref="M6:P6"/>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Sheet1</vt:lpstr>
      <vt:lpstr>Sheet4</vt:lpstr>
      <vt:lpstr>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Williams</dc:creator>
  <cp:lastModifiedBy>NANCY V</cp:lastModifiedBy>
  <dcterms:created xsi:type="dcterms:W3CDTF">2024-05-30T14:35:02Z</dcterms:created>
  <dcterms:modified xsi:type="dcterms:W3CDTF">2026-06-22T06:22:09Z</dcterms:modified>
</cp:coreProperties>
</file>